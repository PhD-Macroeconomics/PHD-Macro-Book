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GAUSS_old\OOS2022_SPMLE_CODES_AND_DATA\"/>
    </mc:Choice>
  </mc:AlternateContent>
  <xr:revisionPtr revIDLastSave="0" documentId="8_{57493C8A-05FC-4532-AEA8-29DFE59CEAEF}" xr6:coauthVersionLast="47" xr6:coauthVersionMax="47" xr10:uidLastSave="{00000000-0000-0000-0000-000000000000}"/>
  <bookViews>
    <workbookView xWindow="-28920" yWindow="-6360" windowWidth="29040" windowHeight="15720" xr2:uid="{B0D73F1F-C734-46CC-9559-6F3B56ECC483}"/>
  </bookViews>
  <sheets>
    <sheet name="UPDATED KORV DATA_OOS2023" sheetId="1" r:id="rId1"/>
  </sheets>
  <calcPr calcId="0"/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3" i="1"/>
</calcChain>
</file>

<file path=xl/sharedStrings.xml><?xml version="1.0" encoding="utf-8"?>
<sst xmlns="http://schemas.openxmlformats.org/spreadsheetml/2006/main" count="17" uniqueCount="14">
  <si>
    <t>N/A</t>
  </si>
  <si>
    <t>K_STR</t>
  </si>
  <si>
    <t>K_EQ</t>
  </si>
  <si>
    <t>REL_PEQ</t>
  </si>
  <si>
    <t>L_S</t>
  </si>
  <si>
    <t>L_U</t>
  </si>
  <si>
    <t>W_S</t>
  </si>
  <si>
    <t>W_R</t>
  </si>
  <si>
    <t>LSHARE</t>
  </si>
  <si>
    <t>Y</t>
  </si>
  <si>
    <t>DEPR_STR</t>
  </si>
  <si>
    <t>DEPR_EQ</t>
  </si>
  <si>
    <t>YEAR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</si>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</sst>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6B8B-FA34-4BD1-9052-3C88A09A1E78}">
  <dimension ref="A1:M59"/>
  <sheetViews>
    <sheetView tabSelected="1" workbookViewId="0">
      <selection activeCell="O13" sqref="O13"/>
    </sheetView>
  </sheetViews>
  <sheetFormatPr defaultRowHeight="14.5" x14ac:dyDescent="0.35"/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>
        <v>2473.0735049999998</v>
      </c>
      <c r="B2">
        <v>150.2725485</v>
      </c>
      <c r="C2">
        <v>14.987500000000001</v>
      </c>
      <c r="D2" t="s">
        <v>0</v>
      </c>
      <c r="E2" t="s">
        <v>0</v>
      </c>
      <c r="F2" t="s">
        <v>0</v>
      </c>
      <c r="G2" t="s">
        <v>0</v>
      </c>
      <c r="H2">
        <v>0.69783123700000005</v>
      </c>
      <c r="I2">
        <v>2327.9</v>
      </c>
      <c r="J2">
        <v>2.6342975000000001E-2</v>
      </c>
      <c r="K2">
        <v>0.13105175299999999</v>
      </c>
      <c r="L2">
        <v>1962</v>
      </c>
    </row>
    <row r="3" spans="1:13" x14ac:dyDescent="0.35">
      <c r="A3">
        <v>2532.3403619999999</v>
      </c>
      <c r="B3">
        <v>152.0325497</v>
      </c>
      <c r="C3">
        <v>14.3575</v>
      </c>
      <c r="D3">
        <v>2220.3910000000001</v>
      </c>
      <c r="E3">
        <v>10535.05</v>
      </c>
      <c r="F3">
        <v>0.33602880000000002</v>
      </c>
      <c r="G3">
        <v>0.3377078</v>
      </c>
      <c r="H3">
        <v>0.694492255</v>
      </c>
      <c r="I3">
        <v>2433.3000000000002</v>
      </c>
      <c r="J3">
        <v>2.6282854000000001E-2</v>
      </c>
      <c r="K3">
        <v>0.13136942700000001</v>
      </c>
      <c r="L3">
        <v>1963</v>
      </c>
      <c r="M3">
        <f>F3/G3</f>
        <v>0.99502824631234466</v>
      </c>
    </row>
    <row r="4" spans="1:13" x14ac:dyDescent="0.35">
      <c r="A4">
        <v>2602.8844370000002</v>
      </c>
      <c r="B4">
        <v>156.3553296</v>
      </c>
      <c r="C4">
        <v>13.8775</v>
      </c>
      <c r="D4">
        <v>2343.0509999999999</v>
      </c>
      <c r="E4">
        <v>10495.17</v>
      </c>
      <c r="F4">
        <v>0.35562369999999999</v>
      </c>
      <c r="G4">
        <v>0.34855439999999999</v>
      </c>
      <c r="H4">
        <v>0.69475535700000002</v>
      </c>
      <c r="I4">
        <v>2586.6999999999998</v>
      </c>
      <c r="J4">
        <v>2.6035503000000002E-2</v>
      </c>
      <c r="K4">
        <v>0.13155922</v>
      </c>
      <c r="L4">
        <v>1964</v>
      </c>
      <c r="M4">
        <f t="shared" ref="M4:M59" si="0">F4/G4</f>
        <v>1.0202817695028381</v>
      </c>
    </row>
    <row r="5" spans="1:13" x14ac:dyDescent="0.35">
      <c r="A5">
        <v>2696.5085340000001</v>
      </c>
      <c r="B5">
        <v>165.0205048</v>
      </c>
      <c r="C5">
        <v>13.2875</v>
      </c>
      <c r="D5">
        <v>2278.7280000000001</v>
      </c>
      <c r="E5">
        <v>10451.66</v>
      </c>
      <c r="F5">
        <v>0.37477939999999998</v>
      </c>
      <c r="G5">
        <v>0.35803200000000002</v>
      </c>
      <c r="H5">
        <v>0.68943641200000005</v>
      </c>
      <c r="I5">
        <v>2772.2</v>
      </c>
      <c r="J5">
        <v>2.5965379E-2</v>
      </c>
      <c r="K5">
        <v>0.13146028400000001</v>
      </c>
      <c r="L5">
        <v>1965</v>
      </c>
      <c r="M5">
        <f t="shared" si="0"/>
        <v>1.0467762658086428</v>
      </c>
    </row>
    <row r="6" spans="1:13" x14ac:dyDescent="0.35">
      <c r="A6">
        <v>2800.5943470000002</v>
      </c>
      <c r="B6">
        <v>178.1621221</v>
      </c>
      <c r="C6">
        <v>12.5175</v>
      </c>
      <c r="D6">
        <v>2271.1120000000001</v>
      </c>
      <c r="E6">
        <v>10374.89</v>
      </c>
      <c r="F6">
        <v>0.39313720000000002</v>
      </c>
      <c r="G6">
        <v>0.37585819999999998</v>
      </c>
      <c r="H6">
        <v>0.691923285</v>
      </c>
      <c r="I6">
        <v>2961.1</v>
      </c>
      <c r="J6">
        <v>2.6049203999999999E-2</v>
      </c>
      <c r="K6">
        <v>0.13010920400000001</v>
      </c>
      <c r="L6">
        <v>1966</v>
      </c>
      <c r="M6">
        <f t="shared" si="0"/>
        <v>1.0459721245937963</v>
      </c>
    </row>
    <row r="7" spans="1:13" x14ac:dyDescent="0.35">
      <c r="A7">
        <v>2898.560395</v>
      </c>
      <c r="B7">
        <v>190.91949959999999</v>
      </c>
      <c r="C7">
        <v>12.157500000000001</v>
      </c>
      <c r="D7">
        <v>2349.154</v>
      </c>
      <c r="E7">
        <v>10138.17</v>
      </c>
      <c r="F7">
        <v>0.42740319999999998</v>
      </c>
      <c r="G7">
        <v>0.39358120000000002</v>
      </c>
      <c r="H7">
        <v>0.69851353100000002</v>
      </c>
      <c r="I7">
        <v>3022</v>
      </c>
      <c r="J7">
        <v>2.5833815E-2</v>
      </c>
      <c r="K7">
        <v>0.13049645400000001</v>
      </c>
      <c r="L7">
        <v>1967</v>
      </c>
      <c r="M7">
        <f t="shared" si="0"/>
        <v>1.0859339826190884</v>
      </c>
    </row>
    <row r="8" spans="1:13" x14ac:dyDescent="0.35">
      <c r="A8">
        <v>2999.1456029999999</v>
      </c>
      <c r="B8">
        <v>205.43708580000001</v>
      </c>
      <c r="C8">
        <v>11.657500000000001</v>
      </c>
      <c r="D8">
        <v>2335.5830000000001</v>
      </c>
      <c r="E8">
        <v>10033.17</v>
      </c>
      <c r="F8">
        <v>0.4548857</v>
      </c>
      <c r="G8">
        <v>0.42336230000000002</v>
      </c>
      <c r="H8">
        <v>0.70348500599999997</v>
      </c>
      <c r="I8">
        <v>3174.9</v>
      </c>
      <c r="J8">
        <v>2.5681618E-2</v>
      </c>
      <c r="K8">
        <v>0.13074749599999999</v>
      </c>
      <c r="L8">
        <v>1968</v>
      </c>
      <c r="M8">
        <f t="shared" si="0"/>
        <v>1.0744596294946431</v>
      </c>
    </row>
    <row r="9" spans="1:13" x14ac:dyDescent="0.35">
      <c r="A9">
        <v>3110.4955380000001</v>
      </c>
      <c r="B9">
        <v>221.65821510000001</v>
      </c>
      <c r="C9">
        <v>11.3225</v>
      </c>
      <c r="D9">
        <v>2333.7089999999998</v>
      </c>
      <c r="E9">
        <v>9766.4830000000002</v>
      </c>
      <c r="F9">
        <v>0.5001892</v>
      </c>
      <c r="G9">
        <v>0.46259749999999999</v>
      </c>
      <c r="H9">
        <v>0.71224707099999995</v>
      </c>
      <c r="I9">
        <v>3272.7</v>
      </c>
      <c r="J9">
        <v>2.5591810999999999E-2</v>
      </c>
      <c r="K9">
        <v>0.130980028</v>
      </c>
      <c r="L9">
        <v>1969</v>
      </c>
      <c r="M9">
        <f t="shared" si="0"/>
        <v>1.0812622203967812</v>
      </c>
    </row>
    <row r="10" spans="1:13" x14ac:dyDescent="0.35">
      <c r="A10">
        <v>3223.2573900000002</v>
      </c>
      <c r="B10">
        <v>235.1412728</v>
      </c>
      <c r="C10">
        <v>11.1675</v>
      </c>
      <c r="D10">
        <v>2421.5990000000002</v>
      </c>
      <c r="E10">
        <v>9484.1149999999998</v>
      </c>
      <c r="F10">
        <v>0.53446579999999999</v>
      </c>
      <c r="G10">
        <v>0.49256709999999998</v>
      </c>
      <c r="H10">
        <v>0.72046051300000002</v>
      </c>
      <c r="I10">
        <v>3271.3</v>
      </c>
      <c r="J10">
        <v>2.5529446000000001E-2</v>
      </c>
      <c r="K10">
        <v>0.131907686</v>
      </c>
      <c r="L10">
        <v>1970</v>
      </c>
      <c r="M10">
        <f t="shared" si="0"/>
        <v>1.0850619133921044</v>
      </c>
    </row>
    <row r="11" spans="1:13" x14ac:dyDescent="0.35">
      <c r="A11">
        <v>3336.4979020000001</v>
      </c>
      <c r="B11">
        <v>247.60871069999999</v>
      </c>
      <c r="C11">
        <v>10.895</v>
      </c>
      <c r="D11">
        <v>2530.5889999999999</v>
      </c>
      <c r="E11">
        <v>9477.5169999999998</v>
      </c>
      <c r="F11">
        <v>0.56004169999999998</v>
      </c>
      <c r="G11">
        <v>0.51272030000000002</v>
      </c>
      <c r="H11">
        <v>0.71261900300000003</v>
      </c>
      <c r="I11">
        <v>3394.9</v>
      </c>
      <c r="J11">
        <v>2.5191534000000002E-2</v>
      </c>
      <c r="K11">
        <v>0.13425742600000001</v>
      </c>
      <c r="L11">
        <v>1971</v>
      </c>
      <c r="M11">
        <f t="shared" si="0"/>
        <v>1.0922947657816551</v>
      </c>
    </row>
    <row r="12" spans="1:13" x14ac:dyDescent="0.35">
      <c r="A12">
        <v>3461.4647479999999</v>
      </c>
      <c r="B12">
        <v>263.85902099999998</v>
      </c>
      <c r="C12">
        <v>10.4475</v>
      </c>
      <c r="D12">
        <v>2636.4</v>
      </c>
      <c r="E12">
        <v>9511.8610000000008</v>
      </c>
      <c r="F12">
        <v>0.59260919999999995</v>
      </c>
      <c r="G12">
        <v>0.54744619999999999</v>
      </c>
      <c r="H12">
        <v>0.71074099300000004</v>
      </c>
      <c r="I12">
        <v>3616.6</v>
      </c>
      <c r="J12">
        <v>2.5418696000000001E-2</v>
      </c>
      <c r="K12">
        <v>0.13460831200000001</v>
      </c>
      <c r="L12">
        <v>1972</v>
      </c>
      <c r="M12">
        <f t="shared" si="0"/>
        <v>1.0824976043307999</v>
      </c>
    </row>
    <row r="13" spans="1:13" x14ac:dyDescent="0.35">
      <c r="A13">
        <v>3604.554275</v>
      </c>
      <c r="B13">
        <v>286.3777824</v>
      </c>
      <c r="C13">
        <v>9.9425000000000008</v>
      </c>
      <c r="D13">
        <v>2776.99</v>
      </c>
      <c r="E13">
        <v>9293.5859999999993</v>
      </c>
      <c r="F13">
        <v>0.62429190000000001</v>
      </c>
      <c r="G13">
        <v>0.58818939999999997</v>
      </c>
      <c r="H13">
        <v>0.710492079</v>
      </c>
      <c r="I13">
        <v>3867.8</v>
      </c>
      <c r="J13">
        <v>2.5759161999999999E-2</v>
      </c>
      <c r="K13">
        <v>0.13311313</v>
      </c>
      <c r="L13">
        <v>1973</v>
      </c>
      <c r="M13">
        <f t="shared" si="0"/>
        <v>1.0613790387926068</v>
      </c>
    </row>
    <row r="14" spans="1:13" x14ac:dyDescent="0.35">
      <c r="A14">
        <v>3744.5718270000002</v>
      </c>
      <c r="B14">
        <v>310.83892259999999</v>
      </c>
      <c r="C14">
        <v>9.1449999999999996</v>
      </c>
      <c r="D14">
        <v>2891.01</v>
      </c>
      <c r="E14">
        <v>9015.8330000000005</v>
      </c>
      <c r="F14">
        <v>0.65507559999999998</v>
      </c>
      <c r="G14">
        <v>0.63513059999999999</v>
      </c>
      <c r="H14">
        <v>0.71106902400000005</v>
      </c>
      <c r="I14">
        <v>3808.8</v>
      </c>
      <c r="J14">
        <v>2.5250778000000001E-2</v>
      </c>
      <c r="K14">
        <v>0.12693246499999999</v>
      </c>
      <c r="L14">
        <v>1974</v>
      </c>
      <c r="M14">
        <f t="shared" si="0"/>
        <v>1.0314029901881596</v>
      </c>
    </row>
    <row r="15" spans="1:13" x14ac:dyDescent="0.35">
      <c r="A15">
        <v>3865.7390209999999</v>
      </c>
      <c r="B15">
        <v>327.69905590000002</v>
      </c>
      <c r="C15">
        <v>9.7925000000000004</v>
      </c>
      <c r="D15">
        <v>2896.1950000000002</v>
      </c>
      <c r="E15">
        <v>8897.1610000000001</v>
      </c>
      <c r="F15">
        <v>0.71031299999999997</v>
      </c>
      <c r="G15">
        <v>0.6796449</v>
      </c>
      <c r="H15">
        <v>0.69724475299999999</v>
      </c>
      <c r="I15">
        <v>3772.6</v>
      </c>
      <c r="J15">
        <v>2.7122451999999998E-2</v>
      </c>
      <c r="K15">
        <v>0.132147547</v>
      </c>
      <c r="L15">
        <v>1975</v>
      </c>
      <c r="M15">
        <f t="shared" si="0"/>
        <v>1.0451237109261027</v>
      </c>
    </row>
    <row r="16" spans="1:13" x14ac:dyDescent="0.35">
      <c r="A16">
        <v>3980.3616710000001</v>
      </c>
      <c r="B16">
        <v>347.03015970000001</v>
      </c>
      <c r="C16">
        <v>9.4550000000000001</v>
      </c>
      <c r="D16">
        <v>2996.0329999999999</v>
      </c>
      <c r="E16">
        <v>8849.4140000000007</v>
      </c>
      <c r="F16">
        <v>0.75504550000000004</v>
      </c>
      <c r="G16">
        <v>0.72864609999999996</v>
      </c>
      <c r="H16">
        <v>0.69485422200000002</v>
      </c>
      <c r="I16">
        <v>4027.5</v>
      </c>
      <c r="J16">
        <v>2.6795600999999999E-2</v>
      </c>
      <c r="K16">
        <v>0.13226712800000001</v>
      </c>
      <c r="L16">
        <v>1976</v>
      </c>
      <c r="M16">
        <f t="shared" si="0"/>
        <v>1.0362307572908165</v>
      </c>
    </row>
    <row r="17" spans="1:13" x14ac:dyDescent="0.35">
      <c r="A17">
        <v>4106.9799309999999</v>
      </c>
      <c r="B17">
        <v>375.7424226</v>
      </c>
      <c r="C17">
        <v>8.9350000000000005</v>
      </c>
      <c r="D17">
        <v>3047.11</v>
      </c>
      <c r="E17">
        <v>8917.1849999999995</v>
      </c>
      <c r="F17">
        <v>0.79920460000000004</v>
      </c>
      <c r="G17">
        <v>0.77910829999999998</v>
      </c>
      <c r="H17">
        <v>0.69012983000000006</v>
      </c>
      <c r="I17">
        <v>4258.1000000000004</v>
      </c>
      <c r="J17">
        <v>2.7088489E-2</v>
      </c>
      <c r="K17">
        <v>0.131964527</v>
      </c>
      <c r="L17">
        <v>1977</v>
      </c>
      <c r="M17">
        <f t="shared" si="0"/>
        <v>1.0257939749839657</v>
      </c>
    </row>
    <row r="18" spans="1:13" x14ac:dyDescent="0.35">
      <c r="A18">
        <v>4269.3902559999997</v>
      </c>
      <c r="B18">
        <v>412.7945795</v>
      </c>
      <c r="C18">
        <v>8.5975000000000001</v>
      </c>
      <c r="D18">
        <v>3224.6309999999999</v>
      </c>
      <c r="E18">
        <v>8948.4369999999999</v>
      </c>
      <c r="F18">
        <v>0.84862599999999999</v>
      </c>
      <c r="G18">
        <v>0.83835289999999996</v>
      </c>
      <c r="H18">
        <v>0.68764741200000001</v>
      </c>
      <c r="I18">
        <v>4529.7</v>
      </c>
      <c r="J18">
        <v>2.7172625999999998E-2</v>
      </c>
      <c r="K18">
        <v>0.131222486</v>
      </c>
      <c r="L18">
        <v>1978</v>
      </c>
      <c r="M18">
        <f t="shared" si="0"/>
        <v>1.0122539088252691</v>
      </c>
    </row>
    <row r="19" spans="1:13" x14ac:dyDescent="0.35">
      <c r="A19">
        <v>4469.3910409999999</v>
      </c>
      <c r="B19">
        <v>458.24882719999999</v>
      </c>
      <c r="C19">
        <v>7.9325000000000001</v>
      </c>
      <c r="D19">
        <v>3297.9650000000001</v>
      </c>
      <c r="E19">
        <v>8897.8459999999995</v>
      </c>
      <c r="F19">
        <v>0.92424870000000003</v>
      </c>
      <c r="G19">
        <v>0.91995070000000001</v>
      </c>
      <c r="H19">
        <v>0.690374131</v>
      </c>
      <c r="I19">
        <v>4690.6000000000004</v>
      </c>
      <c r="J19">
        <v>2.7246556000000002E-2</v>
      </c>
      <c r="K19">
        <v>0.12997735099999999</v>
      </c>
      <c r="L19">
        <v>1979</v>
      </c>
      <c r="M19">
        <f t="shared" si="0"/>
        <v>1.0046719894881324</v>
      </c>
    </row>
    <row r="20" spans="1:13" x14ac:dyDescent="0.35">
      <c r="A20">
        <v>4677.7173229999999</v>
      </c>
      <c r="B20">
        <v>500.06951229999999</v>
      </c>
      <c r="C20">
        <v>7.415</v>
      </c>
      <c r="D20">
        <v>3350.5920000000001</v>
      </c>
      <c r="E20">
        <v>8750.5149999999994</v>
      </c>
      <c r="F20">
        <v>1</v>
      </c>
      <c r="G20">
        <v>1</v>
      </c>
      <c r="H20">
        <v>0.68996327599999996</v>
      </c>
      <c r="I20">
        <v>4648.3</v>
      </c>
      <c r="J20">
        <v>2.7068483000000001E-2</v>
      </c>
      <c r="K20">
        <v>0.13058028699999999</v>
      </c>
      <c r="L20">
        <v>1980</v>
      </c>
      <c r="M20">
        <f t="shared" si="0"/>
        <v>1</v>
      </c>
    </row>
    <row r="21" spans="1:13" x14ac:dyDescent="0.35">
      <c r="A21">
        <v>4923.2195659999998</v>
      </c>
      <c r="B21">
        <v>542.16718730000002</v>
      </c>
      <c r="C21">
        <v>7.23</v>
      </c>
      <c r="D21">
        <v>3511.9090000000001</v>
      </c>
      <c r="E21">
        <v>8671.8169999999991</v>
      </c>
      <c r="F21">
        <v>1.100125</v>
      </c>
      <c r="G21">
        <v>1.0828599999999999</v>
      </c>
      <c r="H21">
        <v>0.67878767600000001</v>
      </c>
      <c r="I21">
        <v>4783.8999999999996</v>
      </c>
      <c r="J21">
        <v>2.8416512000000001E-2</v>
      </c>
      <c r="K21">
        <v>0.13273937099999999</v>
      </c>
      <c r="L21">
        <v>1981</v>
      </c>
      <c r="M21">
        <f t="shared" si="0"/>
        <v>1.0159438893301074</v>
      </c>
    </row>
    <row r="22" spans="1:13" x14ac:dyDescent="0.35">
      <c r="A22">
        <v>5157.6134810000003</v>
      </c>
      <c r="B22">
        <v>572.38433269999996</v>
      </c>
      <c r="C22">
        <v>7.2275</v>
      </c>
      <c r="D22">
        <v>3744.5619999999999</v>
      </c>
      <c r="E22">
        <v>8431.4179999999997</v>
      </c>
      <c r="F22">
        <v>1.185039</v>
      </c>
      <c r="G22">
        <v>1.1421779999999999</v>
      </c>
      <c r="H22">
        <v>0.67482141699999998</v>
      </c>
      <c r="I22">
        <v>4646.5</v>
      </c>
      <c r="J22">
        <v>3.0130988000000001E-2</v>
      </c>
      <c r="K22">
        <v>0.13727560699999999</v>
      </c>
      <c r="L22">
        <v>1982</v>
      </c>
      <c r="M22">
        <f t="shared" si="0"/>
        <v>1.0375256746321502</v>
      </c>
    </row>
    <row r="23" spans="1:13" x14ac:dyDescent="0.35">
      <c r="A23">
        <v>5314.1566830000002</v>
      </c>
      <c r="B23">
        <v>603.48011029999998</v>
      </c>
      <c r="C23">
        <v>6.8624999999999998</v>
      </c>
      <c r="D23">
        <v>3926.1329999999998</v>
      </c>
      <c r="E23">
        <v>8533.52</v>
      </c>
      <c r="F23">
        <v>1.2385250000000001</v>
      </c>
      <c r="G23">
        <v>1.172739</v>
      </c>
      <c r="H23">
        <v>0.67078565499999998</v>
      </c>
      <c r="I23">
        <v>4892.8</v>
      </c>
      <c r="J23">
        <v>2.9311963E-2</v>
      </c>
      <c r="K23">
        <v>0.13952192799999999</v>
      </c>
      <c r="L23">
        <v>1983</v>
      </c>
      <c r="M23">
        <f t="shared" si="0"/>
        <v>1.0560960281870051</v>
      </c>
    </row>
    <row r="24" spans="1:13" x14ac:dyDescent="0.35">
      <c r="A24">
        <v>5503.9463690000002</v>
      </c>
      <c r="B24">
        <v>656.80677960000003</v>
      </c>
      <c r="C24">
        <v>6.2024999999999997</v>
      </c>
      <c r="D24">
        <v>3974.326</v>
      </c>
      <c r="E24">
        <v>8714.6740000000009</v>
      </c>
      <c r="F24">
        <v>1.320004</v>
      </c>
      <c r="G24">
        <v>1.2245680000000001</v>
      </c>
      <c r="H24">
        <v>0.66699400200000003</v>
      </c>
      <c r="I24">
        <v>5326.8</v>
      </c>
      <c r="J24">
        <v>2.8534547E-2</v>
      </c>
      <c r="K24">
        <v>0.13946502599999999</v>
      </c>
      <c r="L24">
        <v>1984</v>
      </c>
      <c r="M24">
        <f t="shared" si="0"/>
        <v>1.0779344225882106</v>
      </c>
    </row>
    <row r="25" spans="1:13" x14ac:dyDescent="0.35">
      <c r="A25">
        <v>5712.9890020000003</v>
      </c>
      <c r="B25">
        <v>715.88502340000002</v>
      </c>
      <c r="C25">
        <v>5.82</v>
      </c>
      <c r="D25">
        <v>4048.125</v>
      </c>
      <c r="E25">
        <v>8780.0720000000001</v>
      </c>
      <c r="F25">
        <v>1.3841570000000001</v>
      </c>
      <c r="G25">
        <v>1.275801</v>
      </c>
      <c r="H25">
        <v>0.67024433699999997</v>
      </c>
      <c r="I25">
        <v>5575.2</v>
      </c>
      <c r="J25">
        <v>2.8596298999999999E-2</v>
      </c>
      <c r="K25">
        <v>0.141172779</v>
      </c>
      <c r="L25">
        <v>1985</v>
      </c>
      <c r="M25">
        <f t="shared" si="0"/>
        <v>1.0849317409219776</v>
      </c>
    </row>
    <row r="26" spans="1:13" x14ac:dyDescent="0.35">
      <c r="A26">
        <v>5874.7395450000004</v>
      </c>
      <c r="B26">
        <v>774.76710760000003</v>
      </c>
      <c r="C26">
        <v>5.59</v>
      </c>
      <c r="D26">
        <v>4210.3959999999997</v>
      </c>
      <c r="E26">
        <v>8794.0370000000003</v>
      </c>
      <c r="F26">
        <v>1.4525980000000001</v>
      </c>
      <c r="G26">
        <v>1.3154520000000001</v>
      </c>
      <c r="H26">
        <v>0.67893756900000002</v>
      </c>
      <c r="I26">
        <v>5777.7</v>
      </c>
      <c r="J26">
        <v>2.8460943999999998E-2</v>
      </c>
      <c r="K26">
        <v>0.14284509300000001</v>
      </c>
      <c r="L26">
        <v>1986</v>
      </c>
      <c r="M26">
        <f t="shared" si="0"/>
        <v>1.1042577000148999</v>
      </c>
    </row>
    <row r="27" spans="1:13" x14ac:dyDescent="0.35">
      <c r="A27">
        <v>6018.8452129999996</v>
      </c>
      <c r="B27">
        <v>831.80959519999999</v>
      </c>
      <c r="C27">
        <v>5.2874999999999996</v>
      </c>
      <c r="D27">
        <v>4274.8239999999996</v>
      </c>
      <c r="E27">
        <v>8928.4030000000002</v>
      </c>
      <c r="F27">
        <v>1.4914339999999999</v>
      </c>
      <c r="G27">
        <v>1.3600950000000001</v>
      </c>
      <c r="H27">
        <v>0.68001502800000002</v>
      </c>
      <c r="I27">
        <v>5985.1</v>
      </c>
      <c r="J27">
        <v>2.7319843999999999E-2</v>
      </c>
      <c r="K27">
        <v>0.144808307</v>
      </c>
      <c r="L27">
        <v>1987</v>
      </c>
      <c r="M27">
        <f t="shared" si="0"/>
        <v>1.0965660486951279</v>
      </c>
    </row>
    <row r="28" spans="1:13" x14ac:dyDescent="0.35">
      <c r="A28">
        <v>6168.8085609999998</v>
      </c>
      <c r="B28">
        <v>895.33985410000003</v>
      </c>
      <c r="C28">
        <v>5.0250000000000004</v>
      </c>
      <c r="D28">
        <v>4447.58</v>
      </c>
      <c r="E28">
        <v>8958.7420000000002</v>
      </c>
      <c r="F28">
        <v>1.5586120000000001</v>
      </c>
      <c r="G28">
        <v>1.3998790000000001</v>
      </c>
      <c r="H28">
        <v>0.67892581299999999</v>
      </c>
      <c r="I28">
        <v>6241.4</v>
      </c>
      <c r="J28">
        <v>2.7458949E-2</v>
      </c>
      <c r="K28">
        <v>0.146014384</v>
      </c>
      <c r="L28">
        <v>1988</v>
      </c>
      <c r="M28">
        <f t="shared" si="0"/>
        <v>1.1133905144658931</v>
      </c>
    </row>
    <row r="29" spans="1:13" x14ac:dyDescent="0.35">
      <c r="A29">
        <v>6318.6061879999997</v>
      </c>
      <c r="B29">
        <v>965.6705316</v>
      </c>
      <c r="C29">
        <v>4.78</v>
      </c>
      <c r="D29">
        <v>4516.7700000000004</v>
      </c>
      <c r="E29">
        <v>9097.1779999999999</v>
      </c>
      <c r="F29">
        <v>1.6420669999999999</v>
      </c>
      <c r="G29">
        <v>1.4520999999999999</v>
      </c>
      <c r="H29">
        <v>0.67994266599999997</v>
      </c>
      <c r="I29">
        <v>6480.4</v>
      </c>
      <c r="J29">
        <v>2.7444475999999999E-2</v>
      </c>
      <c r="K29">
        <v>0.14709091499999999</v>
      </c>
      <c r="L29">
        <v>1989</v>
      </c>
      <c r="M29">
        <f t="shared" si="0"/>
        <v>1.130822257420288</v>
      </c>
    </row>
    <row r="30" spans="1:13" x14ac:dyDescent="0.35">
      <c r="A30">
        <v>6465.4580020000003</v>
      </c>
      <c r="B30">
        <v>1031.466674</v>
      </c>
      <c r="C30">
        <v>4.5250000000000004</v>
      </c>
      <c r="D30">
        <v>4544.8280000000004</v>
      </c>
      <c r="E30">
        <v>9107.6180000000004</v>
      </c>
      <c r="F30">
        <v>1.689948</v>
      </c>
      <c r="G30">
        <v>1.488891</v>
      </c>
      <c r="H30">
        <v>0.68613085699999998</v>
      </c>
      <c r="I30">
        <v>6584.1</v>
      </c>
      <c r="J30">
        <v>2.7518864000000001E-2</v>
      </c>
      <c r="K30">
        <v>0.147645889</v>
      </c>
      <c r="L30">
        <v>1990</v>
      </c>
      <c r="M30">
        <f t="shared" si="0"/>
        <v>1.1350380921101679</v>
      </c>
    </row>
    <row r="31" spans="1:13" x14ac:dyDescent="0.35">
      <c r="A31">
        <v>6567.9675889999999</v>
      </c>
      <c r="B31">
        <v>1090.1978710000001</v>
      </c>
      <c r="C31">
        <v>4.33</v>
      </c>
      <c r="D31">
        <v>4562.6940000000004</v>
      </c>
      <c r="E31">
        <v>9220.1890000000003</v>
      </c>
      <c r="F31">
        <v>1.755306</v>
      </c>
      <c r="G31">
        <v>1.518786</v>
      </c>
      <c r="H31">
        <v>0.68814568399999998</v>
      </c>
      <c r="I31">
        <v>6544</v>
      </c>
      <c r="J31">
        <v>2.8153617999999998E-2</v>
      </c>
      <c r="K31">
        <v>0.15036150700000001</v>
      </c>
      <c r="L31">
        <v>1991</v>
      </c>
      <c r="M31">
        <f t="shared" si="0"/>
        <v>1.1557296419640424</v>
      </c>
    </row>
    <row r="32" spans="1:13" x14ac:dyDescent="0.35">
      <c r="A32">
        <v>6639.853008</v>
      </c>
      <c r="B32">
        <v>1156.008239</v>
      </c>
      <c r="C32">
        <v>4.0750000000000002</v>
      </c>
      <c r="D32">
        <v>4752.7830000000004</v>
      </c>
      <c r="E32">
        <v>9197.6290000000008</v>
      </c>
      <c r="F32">
        <v>1.800713</v>
      </c>
      <c r="G32">
        <v>1.5565549999999999</v>
      </c>
      <c r="H32">
        <v>0.69527997100000005</v>
      </c>
      <c r="I32">
        <v>6821.1</v>
      </c>
      <c r="J32">
        <v>2.7405315999999999E-2</v>
      </c>
      <c r="K32">
        <v>0.15037082800000001</v>
      </c>
      <c r="L32">
        <v>1992</v>
      </c>
      <c r="M32">
        <f t="shared" si="0"/>
        <v>1.156857933063721</v>
      </c>
    </row>
    <row r="33" spans="1:13" x14ac:dyDescent="0.35">
      <c r="A33">
        <v>6715.1176610000002</v>
      </c>
      <c r="B33">
        <v>1241.132269</v>
      </c>
      <c r="C33">
        <v>3.8450000000000002</v>
      </c>
      <c r="D33">
        <v>4805.2079999999996</v>
      </c>
      <c r="E33">
        <v>9219.91</v>
      </c>
      <c r="F33">
        <v>1.8534079999999999</v>
      </c>
      <c r="G33">
        <v>1.570079</v>
      </c>
      <c r="H33">
        <v>0.69134287400000005</v>
      </c>
      <c r="I33">
        <v>7015.7</v>
      </c>
      <c r="J33">
        <v>2.7116742999999999E-2</v>
      </c>
      <c r="K33">
        <v>0.15051790500000001</v>
      </c>
      <c r="L33">
        <v>1993</v>
      </c>
      <c r="M33">
        <f t="shared" si="0"/>
        <v>1.180455250977817</v>
      </c>
    </row>
    <row r="34" spans="1:13" x14ac:dyDescent="0.35">
      <c r="A34">
        <v>6798.6484840000003</v>
      </c>
      <c r="B34">
        <v>1345.1078600000001</v>
      </c>
      <c r="C34">
        <v>3.6775000000000002</v>
      </c>
      <c r="D34">
        <v>5025.9059999999999</v>
      </c>
      <c r="E34">
        <v>9213.8220000000001</v>
      </c>
      <c r="F34">
        <v>1.9052150000000001</v>
      </c>
      <c r="G34">
        <v>1.6118410000000001</v>
      </c>
      <c r="H34">
        <v>0.68397925500000001</v>
      </c>
      <c r="I34">
        <v>7354</v>
      </c>
      <c r="J34">
        <v>2.6890648999999999E-2</v>
      </c>
      <c r="K34">
        <v>0.15047118400000001</v>
      </c>
      <c r="L34">
        <v>1994</v>
      </c>
      <c r="M34">
        <f t="shared" si="0"/>
        <v>1.1820117492978526</v>
      </c>
    </row>
    <row r="35" spans="1:13" x14ac:dyDescent="0.35">
      <c r="A35">
        <v>6904.519937</v>
      </c>
      <c r="B35">
        <v>1477.5275409999999</v>
      </c>
      <c r="C35">
        <v>3.4550000000000001</v>
      </c>
      <c r="D35">
        <v>5088.0010000000002</v>
      </c>
      <c r="E35">
        <v>9383.9509999999991</v>
      </c>
      <c r="F35">
        <v>2.0802179999999999</v>
      </c>
      <c r="G35">
        <v>1.6664220000000001</v>
      </c>
      <c r="H35">
        <v>0.67746090199999998</v>
      </c>
      <c r="I35">
        <v>7580</v>
      </c>
      <c r="J35">
        <v>2.7151346999999999E-2</v>
      </c>
      <c r="K35">
        <v>0.15222298000000001</v>
      </c>
      <c r="L35">
        <v>1995</v>
      </c>
      <c r="M35">
        <f t="shared" si="0"/>
        <v>1.2483140525029073</v>
      </c>
    </row>
    <row r="36" spans="1:13" x14ac:dyDescent="0.35">
      <c r="A36">
        <v>7023.2904980000003</v>
      </c>
      <c r="B36">
        <v>1633.744142</v>
      </c>
      <c r="C36">
        <v>3.2075</v>
      </c>
      <c r="D36">
        <v>5091.2889999999998</v>
      </c>
      <c r="E36">
        <v>9399.9940000000006</v>
      </c>
      <c r="F36">
        <v>2.1947480000000001</v>
      </c>
      <c r="G36">
        <v>1.734623</v>
      </c>
      <c r="H36">
        <v>0.67418888499999996</v>
      </c>
      <c r="I36">
        <v>7931.9</v>
      </c>
      <c r="J36">
        <v>2.7023869999999998E-2</v>
      </c>
      <c r="K36">
        <v>0.15305512700000001</v>
      </c>
      <c r="L36">
        <v>1996</v>
      </c>
      <c r="M36">
        <f t="shared" si="0"/>
        <v>1.2652593675974551</v>
      </c>
    </row>
    <row r="37" spans="1:13" x14ac:dyDescent="0.35">
      <c r="A37">
        <v>7168.9279930000002</v>
      </c>
      <c r="B37">
        <v>1822.0324660000001</v>
      </c>
      <c r="C37">
        <v>2.9925000000000002</v>
      </c>
      <c r="D37">
        <v>5250.732</v>
      </c>
      <c r="E37">
        <v>9365.6869999999999</v>
      </c>
      <c r="F37">
        <v>2.2802159999999998</v>
      </c>
      <c r="G37">
        <v>1.7954380000000001</v>
      </c>
      <c r="H37">
        <v>0.67139814600000003</v>
      </c>
      <c r="I37">
        <v>8348.2999999999993</v>
      </c>
      <c r="J37">
        <v>2.7067226999999999E-2</v>
      </c>
      <c r="K37">
        <v>0.155024829</v>
      </c>
      <c r="L37">
        <v>1997</v>
      </c>
      <c r="M37">
        <f t="shared" si="0"/>
        <v>1.2700054248601176</v>
      </c>
    </row>
    <row r="38" spans="1:13" x14ac:dyDescent="0.35">
      <c r="A38">
        <v>7341.8440490000003</v>
      </c>
      <c r="B38">
        <v>2053.5320299999998</v>
      </c>
      <c r="C38">
        <v>2.74</v>
      </c>
      <c r="D38">
        <v>5434.777</v>
      </c>
      <c r="E38">
        <v>9381.0030000000006</v>
      </c>
      <c r="F38">
        <v>2.3945750000000001</v>
      </c>
      <c r="G38">
        <v>1.8468469999999999</v>
      </c>
      <c r="H38">
        <v>0.679389943</v>
      </c>
      <c r="I38">
        <v>8781</v>
      </c>
      <c r="J38">
        <v>2.7382275000000001E-2</v>
      </c>
      <c r="K38">
        <v>0.15624300499999999</v>
      </c>
      <c r="L38">
        <v>1998</v>
      </c>
      <c r="M38">
        <f t="shared" si="0"/>
        <v>1.2965746485767367</v>
      </c>
    </row>
    <row r="39" spans="1:13" x14ac:dyDescent="0.35">
      <c r="A39">
        <v>7515.0973450000001</v>
      </c>
      <c r="B39">
        <v>2343.2064150000001</v>
      </c>
      <c r="C39">
        <v>2.4900000000000002</v>
      </c>
      <c r="D39">
        <v>5505.3109999999997</v>
      </c>
      <c r="E39">
        <v>9360.6650000000009</v>
      </c>
      <c r="F39">
        <v>2.4436490000000002</v>
      </c>
      <c r="G39">
        <v>1.8996150000000001</v>
      </c>
      <c r="H39">
        <v>0.68280307299999998</v>
      </c>
      <c r="I39">
        <v>9277.7999999999993</v>
      </c>
      <c r="J39">
        <v>2.7095220999999999E-2</v>
      </c>
      <c r="K39">
        <v>0.15808170499999999</v>
      </c>
      <c r="L39">
        <v>1999</v>
      </c>
      <c r="M39">
        <f t="shared" si="0"/>
        <v>1.2863917162161806</v>
      </c>
    </row>
    <row r="40" spans="1:13" x14ac:dyDescent="0.35">
      <c r="A40">
        <v>7721.8026419999997</v>
      </c>
      <c r="B40">
        <v>2677.3886729999999</v>
      </c>
      <c r="C40">
        <v>2.2825000000000002</v>
      </c>
      <c r="D40">
        <v>5577.6549999999997</v>
      </c>
      <c r="E40">
        <v>9415.0949999999993</v>
      </c>
      <c r="F40">
        <v>2.6875399999999998</v>
      </c>
      <c r="G40">
        <v>1.9974320000000001</v>
      </c>
      <c r="H40">
        <v>0.68932848300000005</v>
      </c>
      <c r="I40">
        <v>9728.6</v>
      </c>
      <c r="J40">
        <v>2.6869087E-2</v>
      </c>
      <c r="K40">
        <v>0.16117736299999999</v>
      </c>
      <c r="L40">
        <v>2000</v>
      </c>
      <c r="M40">
        <f t="shared" si="0"/>
        <v>1.3454976189427224</v>
      </c>
    </row>
    <row r="41" spans="1:13" x14ac:dyDescent="0.35">
      <c r="A41">
        <v>7932.5748540000004</v>
      </c>
      <c r="B41">
        <v>2965.6141280000002</v>
      </c>
      <c r="C41">
        <v>2.085</v>
      </c>
      <c r="D41">
        <v>5706.6980000000003</v>
      </c>
      <c r="E41">
        <v>9283.5079999999998</v>
      </c>
      <c r="F41">
        <v>2.8068179999999998</v>
      </c>
      <c r="G41">
        <v>2.070522</v>
      </c>
      <c r="H41">
        <v>0.69143349600000004</v>
      </c>
      <c r="I41">
        <v>9796.7000000000007</v>
      </c>
      <c r="J41">
        <v>2.7380934999999999E-2</v>
      </c>
      <c r="K41">
        <v>0.16478920999999999</v>
      </c>
      <c r="L41">
        <v>2001</v>
      </c>
      <c r="M41">
        <f t="shared" si="0"/>
        <v>1.3556088754430042</v>
      </c>
    </row>
    <row r="42" spans="1:13" x14ac:dyDescent="0.35">
      <c r="A42">
        <v>8070.6342109999996</v>
      </c>
      <c r="B42">
        <v>3199.5977459999999</v>
      </c>
      <c r="C42">
        <v>1.9275</v>
      </c>
      <c r="D42">
        <v>5827.9750000000004</v>
      </c>
      <c r="E42">
        <v>9184.06</v>
      </c>
      <c r="F42">
        <v>2.80559</v>
      </c>
      <c r="G42">
        <v>2.1209660000000001</v>
      </c>
      <c r="H42">
        <v>0.68547138399999996</v>
      </c>
      <c r="I42">
        <v>9968</v>
      </c>
      <c r="J42">
        <v>2.7854418999999998E-2</v>
      </c>
      <c r="K42">
        <v>0.16606518200000001</v>
      </c>
      <c r="L42">
        <v>2002</v>
      </c>
      <c r="M42">
        <f t="shared" si="0"/>
        <v>1.322788767005223</v>
      </c>
    </row>
    <row r="43" spans="1:13" x14ac:dyDescent="0.35">
      <c r="A43">
        <v>8193.8443619999998</v>
      </c>
      <c r="B43">
        <v>3453.8200590000001</v>
      </c>
      <c r="C43">
        <v>1.7625</v>
      </c>
      <c r="D43">
        <v>5910.1989999999996</v>
      </c>
      <c r="E43">
        <v>9148.4359999999997</v>
      </c>
      <c r="F43">
        <v>2.861459</v>
      </c>
      <c r="G43">
        <v>2.1533069999999999</v>
      </c>
      <c r="H43">
        <v>0.68086394100000003</v>
      </c>
      <c r="I43">
        <v>10295</v>
      </c>
      <c r="J43">
        <v>2.8039871000000001E-2</v>
      </c>
      <c r="K43">
        <v>0.16559217700000001</v>
      </c>
      <c r="L43">
        <v>2003</v>
      </c>
      <c r="M43">
        <f t="shared" si="0"/>
        <v>1.3288671796450762</v>
      </c>
    </row>
    <row r="44" spans="1:13" x14ac:dyDescent="0.35">
      <c r="A44">
        <v>8328.6440480000001</v>
      </c>
      <c r="B44">
        <v>3745.0424170000001</v>
      </c>
      <c r="C44">
        <v>1.655</v>
      </c>
      <c r="D44">
        <v>5922.7120000000004</v>
      </c>
      <c r="E44">
        <v>9236.2639999999992</v>
      </c>
      <c r="F44">
        <v>2.962307</v>
      </c>
      <c r="G44">
        <v>2.1981389999999998</v>
      </c>
      <c r="H44">
        <v>0.67707400100000004</v>
      </c>
      <c r="I44">
        <v>10736.4</v>
      </c>
      <c r="J44">
        <v>2.7489801000000001E-2</v>
      </c>
      <c r="K44">
        <v>0.16310495999999999</v>
      </c>
      <c r="L44">
        <v>2004</v>
      </c>
      <c r="M44">
        <f t="shared" si="0"/>
        <v>1.3476431654231149</v>
      </c>
    </row>
    <row r="45" spans="1:13" x14ac:dyDescent="0.35">
      <c r="A45">
        <v>8506.3487139999997</v>
      </c>
      <c r="B45">
        <v>4108.3546839999999</v>
      </c>
      <c r="C45">
        <v>1.55</v>
      </c>
      <c r="D45">
        <v>5951.9030000000002</v>
      </c>
      <c r="E45">
        <v>9315.43</v>
      </c>
      <c r="F45">
        <v>3.0628769999999998</v>
      </c>
      <c r="G45">
        <v>2.2078639999999998</v>
      </c>
      <c r="H45">
        <v>0.66437954600000004</v>
      </c>
      <c r="I45">
        <v>11157.9</v>
      </c>
      <c r="J45">
        <v>2.8212727999999999E-2</v>
      </c>
      <c r="K45">
        <v>0.163702929</v>
      </c>
      <c r="L45">
        <v>2005</v>
      </c>
      <c r="M45">
        <f t="shared" si="0"/>
        <v>1.3872580013986369</v>
      </c>
    </row>
    <row r="46" spans="1:13" x14ac:dyDescent="0.35">
      <c r="A46">
        <v>8743.1980469999999</v>
      </c>
      <c r="B46">
        <v>4528.6685470000002</v>
      </c>
      <c r="C46">
        <v>1.4424999999999999</v>
      </c>
      <c r="D46">
        <v>6182.4059999999999</v>
      </c>
      <c r="E46">
        <v>9182.2160000000003</v>
      </c>
      <c r="F46">
        <v>3.2142520000000001</v>
      </c>
      <c r="G46">
        <v>2.2912599999999999</v>
      </c>
      <c r="H46">
        <v>0.65607992500000001</v>
      </c>
      <c r="I46">
        <v>11533.3</v>
      </c>
      <c r="J46">
        <v>2.9408008999999999E-2</v>
      </c>
      <c r="K46">
        <v>0.162478549</v>
      </c>
      <c r="L46">
        <v>2006</v>
      </c>
      <c r="M46">
        <f t="shared" si="0"/>
        <v>1.402831629758299</v>
      </c>
    </row>
    <row r="47" spans="1:13" x14ac:dyDescent="0.35">
      <c r="A47">
        <v>9044.1809080000003</v>
      </c>
      <c r="B47">
        <v>4979.548057</v>
      </c>
      <c r="C47">
        <v>1.3525</v>
      </c>
      <c r="D47">
        <v>6314.8019999999997</v>
      </c>
      <c r="E47">
        <v>9123.2189999999991</v>
      </c>
      <c r="F47">
        <v>3.2118039999999999</v>
      </c>
      <c r="G47">
        <v>2.3613499999999998</v>
      </c>
      <c r="H47">
        <v>0.66634425799999997</v>
      </c>
      <c r="I47">
        <v>11795.2</v>
      </c>
      <c r="J47">
        <v>2.9882753000000001E-2</v>
      </c>
      <c r="K47">
        <v>0.16353517300000001</v>
      </c>
      <c r="L47">
        <v>2007</v>
      </c>
      <c r="M47">
        <f t="shared" si="0"/>
        <v>1.3601558430558791</v>
      </c>
    </row>
    <row r="48" spans="1:13" x14ac:dyDescent="0.35">
      <c r="A48">
        <v>9380.3079030000008</v>
      </c>
      <c r="B48">
        <v>5385.5557580000004</v>
      </c>
      <c r="C48">
        <v>1.2524999999999999</v>
      </c>
      <c r="D48">
        <v>6322.7079999999996</v>
      </c>
      <c r="E48">
        <v>8893.25</v>
      </c>
      <c r="F48">
        <v>3.3625240000000001</v>
      </c>
      <c r="G48">
        <v>2.3998170000000001</v>
      </c>
      <c r="H48">
        <v>0.675188291</v>
      </c>
      <c r="I48">
        <v>11679.1</v>
      </c>
      <c r="J48">
        <v>2.9972657999999999E-2</v>
      </c>
      <c r="K48">
        <v>0.16406865900000001</v>
      </c>
      <c r="L48">
        <v>2008</v>
      </c>
      <c r="M48">
        <f t="shared" si="0"/>
        <v>1.4011585050026731</v>
      </c>
    </row>
    <row r="49" spans="1:13" x14ac:dyDescent="0.35">
      <c r="A49">
        <v>9583.5694999999996</v>
      </c>
      <c r="B49">
        <v>5599.0553970000001</v>
      </c>
      <c r="C49">
        <v>1.21</v>
      </c>
      <c r="D49">
        <v>6379.06</v>
      </c>
      <c r="E49">
        <v>8600.5529999999999</v>
      </c>
      <c r="F49">
        <v>3.3960919999999999</v>
      </c>
      <c r="G49">
        <v>2.4693939999999999</v>
      </c>
      <c r="H49">
        <v>0.66411170799999997</v>
      </c>
      <c r="I49">
        <v>11245.6</v>
      </c>
      <c r="J49">
        <v>3.1052521999999999E-2</v>
      </c>
      <c r="K49">
        <v>0.167149933</v>
      </c>
      <c r="L49">
        <v>2009</v>
      </c>
      <c r="M49">
        <f t="shared" si="0"/>
        <v>1.3752734476555788</v>
      </c>
    </row>
    <row r="50" spans="1:13" x14ac:dyDescent="0.35">
      <c r="A50">
        <v>9682.8303360000009</v>
      </c>
      <c r="B50">
        <v>5945.5457489999999</v>
      </c>
      <c r="C50">
        <v>1.1125</v>
      </c>
      <c r="D50">
        <v>6599.7039999999997</v>
      </c>
      <c r="E50">
        <v>8593.5769999999993</v>
      </c>
      <c r="F50">
        <v>3.3561169999999998</v>
      </c>
      <c r="G50">
        <v>2.4815670000000001</v>
      </c>
      <c r="H50">
        <v>0.65454953199999999</v>
      </c>
      <c r="I50">
        <v>11607.3</v>
      </c>
      <c r="J50">
        <v>3.016046E-2</v>
      </c>
      <c r="K50">
        <v>0.16464815799999999</v>
      </c>
      <c r="L50">
        <v>2010</v>
      </c>
      <c r="M50">
        <f t="shared" si="0"/>
        <v>1.3524184517282829</v>
      </c>
    </row>
    <row r="51" spans="1:13" x14ac:dyDescent="0.35">
      <c r="A51">
        <v>9803.0063150000005</v>
      </c>
      <c r="B51">
        <v>6423.7240810000003</v>
      </c>
      <c r="C51">
        <v>1.0549999999999999</v>
      </c>
      <c r="D51">
        <v>6658.7039999999997</v>
      </c>
      <c r="E51">
        <v>8615.25</v>
      </c>
      <c r="F51">
        <v>3.5194800000000002</v>
      </c>
      <c r="G51">
        <v>2.5267789999999999</v>
      </c>
      <c r="H51">
        <v>0.65344012900000004</v>
      </c>
      <c r="I51">
        <v>11830.4</v>
      </c>
      <c r="J51">
        <v>3.0009491999999999E-2</v>
      </c>
      <c r="K51">
        <v>0.16387373099999999</v>
      </c>
      <c r="L51">
        <v>2011</v>
      </c>
      <c r="M51">
        <f t="shared" si="0"/>
        <v>1.392872111094797</v>
      </c>
    </row>
    <row r="52" spans="1:13" x14ac:dyDescent="0.35">
      <c r="A52">
        <v>9988.2278709999991</v>
      </c>
      <c r="B52">
        <v>7014.252469</v>
      </c>
      <c r="C52">
        <v>0.99750000000000005</v>
      </c>
      <c r="D52">
        <v>6809.1409999999996</v>
      </c>
      <c r="E52">
        <v>8577.7909999999993</v>
      </c>
      <c r="F52">
        <v>3.5597650000000001</v>
      </c>
      <c r="G52">
        <v>2.554519</v>
      </c>
      <c r="H52">
        <v>0.64517048300000002</v>
      </c>
      <c r="I52">
        <v>12189.5</v>
      </c>
      <c r="J52">
        <v>3.0849283000000002E-2</v>
      </c>
      <c r="K52">
        <v>0.16471780699999999</v>
      </c>
      <c r="L52">
        <v>2012</v>
      </c>
      <c r="M52">
        <f t="shared" si="0"/>
        <v>1.3935167442481344</v>
      </c>
    </row>
    <row r="53" spans="1:13" x14ac:dyDescent="0.35">
      <c r="A53">
        <v>10166.06439</v>
      </c>
      <c r="B53">
        <v>7632.5055069999999</v>
      </c>
      <c r="C53">
        <v>0.95250000000000001</v>
      </c>
      <c r="D53">
        <v>6883.2929999999997</v>
      </c>
      <c r="E53">
        <v>8551.9079999999994</v>
      </c>
      <c r="F53">
        <v>3.6093609999999998</v>
      </c>
      <c r="G53">
        <v>2.5865879999999999</v>
      </c>
      <c r="H53">
        <v>0.64766189100000005</v>
      </c>
      <c r="I53">
        <v>12487.3</v>
      </c>
      <c r="J53">
        <v>3.0367750999999998E-2</v>
      </c>
      <c r="K53">
        <v>0.165435203</v>
      </c>
      <c r="L53">
        <v>2013</v>
      </c>
      <c r="M53">
        <f t="shared" si="0"/>
        <v>1.3954139584657472</v>
      </c>
    </row>
    <row r="54" spans="1:13" x14ac:dyDescent="0.35">
      <c r="A54">
        <v>10419.066779999999</v>
      </c>
      <c r="B54">
        <v>8327.3343870000008</v>
      </c>
      <c r="C54">
        <v>0.89749999999999996</v>
      </c>
      <c r="D54">
        <v>7003.5429999999997</v>
      </c>
      <c r="E54">
        <v>8635.8340000000007</v>
      </c>
      <c r="F54">
        <v>3.670131</v>
      </c>
      <c r="G54">
        <v>2.6501260000000002</v>
      </c>
      <c r="H54">
        <v>0.64535445000000002</v>
      </c>
      <c r="I54">
        <v>12877.1</v>
      </c>
      <c r="J54">
        <v>3.1045678E-2</v>
      </c>
      <c r="K54">
        <v>0.16631976400000001</v>
      </c>
      <c r="L54">
        <v>2014</v>
      </c>
      <c r="M54">
        <f t="shared" si="0"/>
        <v>1.3848892467754363</v>
      </c>
    </row>
    <row r="55" spans="1:13" x14ac:dyDescent="0.35">
      <c r="A55">
        <v>10662.73891</v>
      </c>
      <c r="B55">
        <v>9066.5155329999998</v>
      </c>
      <c r="C55">
        <v>0.85</v>
      </c>
      <c r="D55">
        <v>7114.6559999999999</v>
      </c>
      <c r="E55">
        <v>8527.0130000000008</v>
      </c>
      <c r="F55">
        <v>3.814073</v>
      </c>
      <c r="G55">
        <v>2.722477</v>
      </c>
      <c r="H55">
        <v>0.64954317800000005</v>
      </c>
      <c r="I55">
        <v>13361.7</v>
      </c>
      <c r="J55">
        <v>3.1556395000000001E-2</v>
      </c>
      <c r="K55">
        <v>0.16844863600000001</v>
      </c>
      <c r="L55">
        <v>2015</v>
      </c>
      <c r="M55">
        <f t="shared" si="0"/>
        <v>1.4009569226847463</v>
      </c>
    </row>
    <row r="56" spans="1:13" x14ac:dyDescent="0.35">
      <c r="A56">
        <v>10864.56358</v>
      </c>
      <c r="B56">
        <v>9792.1062170000005</v>
      </c>
      <c r="C56">
        <v>0.79749999999999999</v>
      </c>
      <c r="D56">
        <v>7247.9269999999997</v>
      </c>
      <c r="E56">
        <v>8486.1149999999998</v>
      </c>
      <c r="F56">
        <v>3.94665</v>
      </c>
      <c r="G56">
        <v>2.8012809999999999</v>
      </c>
      <c r="H56">
        <v>0.65385211799999998</v>
      </c>
      <c r="I56">
        <v>13609.4</v>
      </c>
      <c r="J56">
        <v>3.0758278E-2</v>
      </c>
      <c r="K56">
        <v>0.168118979</v>
      </c>
      <c r="L56">
        <v>2016</v>
      </c>
      <c r="M56">
        <f t="shared" si="0"/>
        <v>1.4088732976092009</v>
      </c>
    </row>
    <row r="57" spans="1:13" x14ac:dyDescent="0.35">
      <c r="A57">
        <v>11095.978510000001</v>
      </c>
      <c r="B57">
        <v>10564.33923</v>
      </c>
      <c r="C57">
        <v>0.755</v>
      </c>
      <c r="D57">
        <v>7420.7539999999999</v>
      </c>
      <c r="E57">
        <v>8401.7540000000008</v>
      </c>
      <c r="F57">
        <v>4.0847290000000003</v>
      </c>
      <c r="G57">
        <v>2.8688929999999999</v>
      </c>
      <c r="H57">
        <v>0.654128178</v>
      </c>
      <c r="I57">
        <v>13980.4</v>
      </c>
      <c r="J57">
        <v>3.0621626999999998E-2</v>
      </c>
      <c r="K57">
        <v>0.16843540800000001</v>
      </c>
      <c r="L57">
        <v>2017</v>
      </c>
      <c r="M57">
        <f t="shared" si="0"/>
        <v>1.4237997025333466</v>
      </c>
    </row>
    <row r="58" spans="1:13" x14ac:dyDescent="0.35">
      <c r="A58">
        <v>11340.079750000001</v>
      </c>
      <c r="B58">
        <v>11488.18957</v>
      </c>
      <c r="C58">
        <v>0.71499999999999997</v>
      </c>
      <c r="D58">
        <v>7782.9390000000003</v>
      </c>
      <c r="E58">
        <v>8237.6560000000009</v>
      </c>
      <c r="F58">
        <v>4.1951980000000004</v>
      </c>
      <c r="G58">
        <v>2.919467</v>
      </c>
      <c r="H58">
        <v>0.65462691299999998</v>
      </c>
      <c r="I58">
        <v>14469.2</v>
      </c>
      <c r="J58">
        <v>2.9530192E-2</v>
      </c>
      <c r="K58">
        <v>0.16852335099999999</v>
      </c>
      <c r="L58">
        <v>2018</v>
      </c>
      <c r="M58">
        <f t="shared" si="0"/>
        <v>1.4369739407912474</v>
      </c>
    </row>
    <row r="59" spans="1:13" x14ac:dyDescent="0.35">
      <c r="A59">
        <v>11598.1651</v>
      </c>
      <c r="B59">
        <v>12452.23242</v>
      </c>
      <c r="C59">
        <v>0.68500000000000005</v>
      </c>
      <c r="D59">
        <v>7937.5950000000003</v>
      </c>
      <c r="E59">
        <v>8014.4759999999997</v>
      </c>
      <c r="F59">
        <v>4.5236890000000001</v>
      </c>
      <c r="G59">
        <v>3.029423</v>
      </c>
      <c r="H59">
        <v>0.658432299</v>
      </c>
      <c r="I59">
        <v>14820</v>
      </c>
      <c r="J59">
        <v>2.9527914999999998E-2</v>
      </c>
      <c r="K59">
        <v>0.17062014</v>
      </c>
      <c r="L59">
        <v>2019</v>
      </c>
      <c r="M59">
        <f t="shared" si="0"/>
        <v>1.4932510250301791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KORV DATA_OOS2023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 Orak</cp:lastModifiedBy>
  <dcterms:created xsi:type="dcterms:W3CDTF">2025-07-20T17:41:41Z</dcterms:created>
  <dcterms:modified xsi:type="dcterms:W3CDTF">2025-07-20T17:42:29Z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a239b7-1272-4f5a-8d2b-038a4e61a229_Enabled">
    <vt:lpwstr>true</vt:lpwstr>
  </property>
  <property fmtid="{D5CDD505-2E9C-101B-9397-08002B2CF9AE}" pid="3" name="MSIP_Label_66a239b7-1272-4f5a-8d2b-038a4e61a229_SetDate">
    <vt:lpwstr>2025-07-20T17:42:27Z</vt:lpwstr>
  </property>
  <property fmtid="{D5CDD505-2E9C-101B-9397-08002B2CF9AE}" pid="4" name="MSIP_Label_66a239b7-1272-4f5a-8d2b-038a4e61a229_Method">
    <vt:lpwstr>Privileged</vt:lpwstr>
  </property>
  <property fmtid="{D5CDD505-2E9C-101B-9397-08002B2CF9AE}" pid="5" name="MSIP_Label_66a239b7-1272-4f5a-8d2b-038a4e61a229_Name">
    <vt:lpwstr>PERSONAL - NONWORK-EXTERNAL NO LABEL</vt:lpwstr>
  </property>
  <property fmtid="{D5CDD505-2E9C-101B-9397-08002B2CF9AE}" pid="6" name="MSIP_Label_66a239b7-1272-4f5a-8d2b-038a4e61a229_SiteId">
    <vt:lpwstr>87bb2570-5c1e-4973-9c37-09257a95aeb1</vt:lpwstr>
  </property>
  <property fmtid="{D5CDD505-2E9C-101B-9397-08002B2CF9AE}" pid="7" name="MSIP_Label_66a239b7-1272-4f5a-8d2b-038a4e61a229_ActionId">
    <vt:lpwstr>ae1686f3-c732-41cb-9d8c-6124f76e7901</vt:lpwstr>
  </property>
  <property fmtid="{D5CDD505-2E9C-101B-9397-08002B2CF9AE}" pid="8" name="MSIP_Label_66a239b7-1272-4f5a-8d2b-038a4e61a229_ContentBits">
    <vt:lpwstr>0</vt:lpwstr>
  </property>
  <property fmtid="{D5CDD505-2E9C-101B-9397-08002B2CF9AE}" pid="9" name="MSIP_Label_66a239b7-1272-4f5a-8d2b-038a4e61a229_Tag">
    <vt:lpwstr>10, 0, 1, 1</vt:lpwstr>
  </property>
</Properties>
</file>