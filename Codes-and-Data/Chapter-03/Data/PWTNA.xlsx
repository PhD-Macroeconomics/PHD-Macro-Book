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Dropbox\Per\"/>
    </mc:Choice>
  </mc:AlternateContent>
  <xr:revisionPtr revIDLastSave="0" documentId="13_ncr:1_{DBD14356-6814-424C-8B02-E380D77AC159}" xr6:coauthVersionLast="36" xr6:coauthVersionMax="36" xr10:uidLastSave="{00000000-0000-0000-0000-000000000000}"/>
  <bookViews>
    <workbookView xWindow="0" yWindow="0" windowWidth="19583" windowHeight="8258" activeTab="1" xr2:uid="{6F2A74DB-AB29-46A3-922E-2CB001C93A0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J3" i="1"/>
  <c r="K3" i="1"/>
  <c r="I3" i="1"/>
</calcChain>
</file>

<file path=xl/sharedStrings.xml><?xml version="1.0" encoding="utf-8"?>
<sst xmlns="http://schemas.openxmlformats.org/spreadsheetml/2006/main" count="548" uniqueCount="215">
  <si>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</si>
  <si>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</si>
  <si>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</si>
  <si>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</si>
  <si>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</si>
  <si>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</si>
  <si>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</si>
  <si>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</si>
  <si>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</si>
  <si>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</si>
  <si>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</si>
  <si>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</si>
  <si>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</si>
  <si>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</si>
  <si>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</si>
  <si>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</si>
  <si>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</si>
  <si>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</si>
  <si>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</si>
  <si>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</si>
  <si>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</si>
  <si>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</si>
  <si>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</si>
  <si>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</si>
  <si>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</si>
  <si>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</si>
  <si>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</si>
  <si>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</si>
  <si>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</si>
  <si>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</si>
  <si>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</si>
  <si>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</si>
  <si>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</si>
  <si>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</si>
  <si>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</si>
  <si>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</si>
  <si>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</si>
  <si>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</si>
  <si>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</si>
  <si>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</si>
  <si>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</si>
  <si>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</si>
  <si>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</si>
  <si>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</si>
  <si>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</si>
  <si>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</si>
  <si>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</si>
  <si>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</si>
  <si>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</si>
  <si>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</si>
  <si>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</si>
  <si>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</si>
  <si>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</si>
  <si>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</si>
  <si>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</si>
  <si>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</si>
  <si>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</si>
  <si>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</si>
  <si>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</si>
  <si>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</si>
  <si>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</si>
  <si>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</si>
  <si>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</si>
  <si>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</si>
  <si>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</si>
  <si>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</si>
  <si>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</si>
  <si>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</si>
  <si>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</si>
  <si>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</si>
  <si>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</si>
  <si>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</si>
  <si>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</si>
  <si>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</si>
  <si>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</si>
  <si>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</si>
  <si>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</si>
  <si>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</si>
  <si>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</si>
  <si>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</si>
  <si>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</si>
  <si>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</si>
  <si>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</si>
  <si>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</si>
  <si>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</si>
  <si>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</si>
  <si>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</si>
  <si>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</si>
  <si>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</si>
  <si>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</si>
  <si>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</si>
  <si>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</si>
  <si>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</si>
  <si>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</si>
  <si>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</si>
  <si>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</si>
  <si>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</si>
  <si>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</si>
  <si>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</si>
  <si>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</si>
  <si>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</si>
  <si>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</si>
  <si>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</si>
  <si>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</si>
  <si>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</si>
  <si>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</si>
  <si>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</si>
  <si>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</si>
  <si>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</si>
  <si>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</si>
  <si>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</si>
  <si>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</si>
  <si>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</si>
  <si>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</si>
  <si>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</si>
  <si>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</si>
  <si>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</si>
  <si>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</si>
  <si>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</si>
  <si>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</si>
  <si>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</si>
  <si>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</si>
  <si>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</si>
  <si>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</si>
  <si>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</si>
  <si>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</si>
  <si>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</si>
  <si>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</si>
  <si>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</si>
  <si>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</si>
  <si>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</si>
  <si>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</si>
  <si>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</si>
  <si>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</si>
  <si>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</si>
  <si>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</si>
  <si>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</si>
  <si>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</si>
  <si>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</si>
  <si>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</si>
  <si>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</si>
  <si>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</si>
  <si>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</si>
  <si>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</si>
  <si>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</si>
  <si>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</si>
  <si>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</si>
  <si>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</si>
  <si>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</si>
  <si>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</si>
  <si>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</si>
  <si>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</si>
  <si>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</si>
  <si>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</si>
  <si>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</si>
  <si>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</si>
  <si>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</si>
  <si>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</si>
  <si>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</si>
  <si>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</si>
  <si>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</si>
  <si>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</si>
  <si>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</si>
  <si>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</si>
  <si>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</si>
  <si>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</si>
  <si>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</si>
  <si>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</si>
  <si>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</si>
  <si>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</si>
  <si>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</si>
  <si>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</si>
  <si>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</si>
  <si>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</si>
  <si>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</si>
  <si>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</si>
  <si>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</si>
  <si>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</si>
  <si>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</si>
  <si>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</si>
  <si>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</si>
  <si>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</si>
  <si>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</si>
  <si>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pop</t>
  </si>
  <si>
    <t>RGDPNA</t>
  </si>
  <si>
    <t>per capita</t>
  </si>
  <si>
    <t>growth</t>
  </si>
  <si>
    <t>1960-1990</t>
  </si>
  <si>
    <t>1960-2019</t>
  </si>
  <si>
    <t>1990-2019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</si>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</sst>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FE80-546F-469F-B506-048AD6B85353}">
  <dimension ref="A1:N185"/>
  <sheetViews>
    <sheetView topLeftCell="A146" workbookViewId="0">
      <selection sqref="A1:N185"/>
    </sheetView>
  </sheetViews>
  <sheetFormatPr defaultRowHeight="14.25" x14ac:dyDescent="0.45"/>
  <sheetData>
    <row r="1" spans="1:14" x14ac:dyDescent="0.45">
      <c r="C1" t="s">
        <v>183</v>
      </c>
      <c r="F1" t="s">
        <v>184</v>
      </c>
      <c r="I1" t="s">
        <v>185</v>
      </c>
      <c r="L1" t="s">
        <v>186</v>
      </c>
    </row>
    <row r="2" spans="1:14" x14ac:dyDescent="0.45">
      <c r="C2">
        <v>1960</v>
      </c>
      <c r="D2">
        <v>1990</v>
      </c>
      <c r="E2">
        <v>2019</v>
      </c>
      <c r="F2">
        <v>1960</v>
      </c>
      <c r="G2">
        <v>1990</v>
      </c>
      <c r="H2">
        <v>2019</v>
      </c>
      <c r="I2">
        <v>1960</v>
      </c>
      <c r="J2">
        <v>1990</v>
      </c>
      <c r="K2">
        <v>2019</v>
      </c>
      <c r="L2" t="s">
        <v>187</v>
      </c>
      <c r="M2" t="s">
        <v>188</v>
      </c>
      <c r="N2" t="s">
        <v>189</v>
      </c>
    </row>
    <row r="3" spans="1:14" x14ac:dyDescent="0.45">
      <c r="A3" s="1" t="s">
        <v>0</v>
      </c>
      <c r="B3" s="1"/>
      <c r="C3" s="2"/>
      <c r="D3" s="2">
        <v>6.2100000000000002E-2</v>
      </c>
      <c r="E3" s="2">
        <v>0.10630000000000001</v>
      </c>
      <c r="F3" s="2"/>
      <c r="G3" s="2">
        <v>1693.8788999999999</v>
      </c>
      <c r="H3" s="2">
        <v>3068.7583</v>
      </c>
      <c r="I3" t="e">
        <f>F3/C3</f>
        <v>#DIV/0!</v>
      </c>
      <c r="J3">
        <f t="shared" ref="J3:K3" si="0">G3/D3</f>
        <v>27276.632850241545</v>
      </c>
      <c r="K3">
        <f t="shared" si="0"/>
        <v>28868.845719661334</v>
      </c>
      <c r="L3" t="e">
        <f>(J3/I3)^(1/30)-1</f>
        <v>#DIV/0!</v>
      </c>
      <c r="M3" t="e">
        <f>(K3/I3)^(1/59)-1</f>
        <v>#DIV/0!</v>
      </c>
      <c r="N3">
        <f>(K3/J3)^(1/29)-1</f>
        <v>1.958211858276826E-3</v>
      </c>
    </row>
    <row r="4" spans="1:14" x14ac:dyDescent="0.45">
      <c r="A4" s="1" t="s">
        <v>1</v>
      </c>
      <c r="B4" s="1"/>
      <c r="C4" s="2"/>
      <c r="D4" s="2">
        <v>11.8484</v>
      </c>
      <c r="E4" s="2">
        <v>31.825299999999999</v>
      </c>
      <c r="F4" s="2"/>
      <c r="G4" s="2">
        <v>72165.632800000007</v>
      </c>
      <c r="H4" s="2">
        <v>222151.0625</v>
      </c>
      <c r="I4" t="e">
        <f t="shared" ref="I4:I67" si="1">F4/C4</f>
        <v>#DIV/0!</v>
      </c>
      <c r="J4">
        <f t="shared" ref="J4:J67" si="2">G4/D4</f>
        <v>6090.7491982039774</v>
      </c>
      <c r="K4">
        <f t="shared" ref="K4:K67" si="3">H4/E4</f>
        <v>6980.3289364122256</v>
      </c>
      <c r="L4" t="e">
        <f t="shared" ref="L4:L67" si="4">(J4/I4)^(1/30)-1</f>
        <v>#DIV/0!</v>
      </c>
      <c r="M4" t="e">
        <f t="shared" ref="M4:M67" si="5">(K4/I4)^(1/59)-1</f>
        <v>#DIV/0!</v>
      </c>
      <c r="N4">
        <f t="shared" ref="N4:N67" si="6">(K4/J4)^(1/29)-1</f>
        <v>4.7119265845474434E-3</v>
      </c>
    </row>
    <row r="5" spans="1:14" x14ac:dyDescent="0.45">
      <c r="A5" s="1" t="s">
        <v>2</v>
      </c>
      <c r="B5" s="1"/>
      <c r="C5" s="2"/>
      <c r="D5" s="2">
        <v>8.8999999999999999E-3</v>
      </c>
      <c r="E5" s="2">
        <v>1.49E-2</v>
      </c>
      <c r="F5" s="2"/>
      <c r="G5" s="2">
        <v>92.486500000000007</v>
      </c>
      <c r="H5" s="2">
        <v>223.45670000000001</v>
      </c>
      <c r="I5" t="e">
        <f t="shared" si="1"/>
        <v>#DIV/0!</v>
      </c>
      <c r="J5">
        <f t="shared" si="2"/>
        <v>10391.741573033709</v>
      </c>
      <c r="K5">
        <f t="shared" si="3"/>
        <v>14997.093959731545</v>
      </c>
      <c r="L5" t="e">
        <f t="shared" si="4"/>
        <v>#DIV/0!</v>
      </c>
      <c r="M5" t="e">
        <f t="shared" si="5"/>
        <v>#DIV/0!</v>
      </c>
      <c r="N5">
        <f t="shared" si="6"/>
        <v>1.2730176318642483E-2</v>
      </c>
    </row>
    <row r="6" spans="1:14" x14ac:dyDescent="0.45">
      <c r="A6" s="1" t="s">
        <v>3</v>
      </c>
      <c r="B6" s="1"/>
      <c r="C6" s="2"/>
      <c r="D6" s="2">
        <v>3.2860999999999998</v>
      </c>
      <c r="E6" s="2">
        <v>2.8809</v>
      </c>
      <c r="F6" s="2"/>
      <c r="G6" s="2">
        <v>15105.708000000001</v>
      </c>
      <c r="H6" s="2">
        <v>37204.773399999998</v>
      </c>
      <c r="I6" t="e">
        <f t="shared" si="1"/>
        <v>#DIV/0!</v>
      </c>
      <c r="J6">
        <f t="shared" si="2"/>
        <v>4596.8497611149996</v>
      </c>
      <c r="K6">
        <f t="shared" si="3"/>
        <v>12914.288382102814</v>
      </c>
      <c r="L6" t="e">
        <f t="shared" si="4"/>
        <v>#DIV/0!</v>
      </c>
      <c r="M6" t="e">
        <f t="shared" si="5"/>
        <v>#DIV/0!</v>
      </c>
      <c r="N6">
        <f t="shared" si="6"/>
        <v>3.6261387879040541E-2</v>
      </c>
    </row>
    <row r="7" spans="1:14" x14ac:dyDescent="0.45">
      <c r="A7" s="1" t="s">
        <v>4</v>
      </c>
      <c r="B7" s="1"/>
      <c r="C7" s="2"/>
      <c r="D7" s="2">
        <v>1.8284</v>
      </c>
      <c r="E7" s="2">
        <v>9.7705000000000002</v>
      </c>
      <c r="F7" s="2"/>
      <c r="G7" s="2">
        <v>186850.89060000001</v>
      </c>
      <c r="H7" s="2">
        <v>647986.25</v>
      </c>
      <c r="I7" t="e">
        <f t="shared" si="1"/>
        <v>#DIV/0!</v>
      </c>
      <c r="J7">
        <f t="shared" si="2"/>
        <v>102193.6614526362</v>
      </c>
      <c r="K7">
        <f t="shared" si="3"/>
        <v>66320.684714190676</v>
      </c>
      <c r="L7" t="e">
        <f t="shared" si="4"/>
        <v>#DIV/0!</v>
      </c>
      <c r="M7" t="e">
        <f t="shared" si="5"/>
        <v>#DIV/0!</v>
      </c>
      <c r="N7">
        <f t="shared" si="6"/>
        <v>-1.4798642812157481E-2</v>
      </c>
    </row>
    <row r="8" spans="1:14" x14ac:dyDescent="0.45">
      <c r="A8" s="1" t="s">
        <v>5</v>
      </c>
      <c r="B8" s="1"/>
      <c r="C8" s="2">
        <v>20.5457</v>
      </c>
      <c r="D8" s="2">
        <v>32.618699999999997</v>
      </c>
      <c r="E8" s="2">
        <v>44.780700000000003</v>
      </c>
      <c r="F8" s="2">
        <v>270342</v>
      </c>
      <c r="G8" s="2">
        <v>447422.84379999997</v>
      </c>
      <c r="H8" s="2">
        <v>975569</v>
      </c>
      <c r="I8">
        <f t="shared" si="1"/>
        <v>13158.081739731428</v>
      </c>
      <c r="J8">
        <f t="shared" si="2"/>
        <v>13716.758908233622</v>
      </c>
      <c r="K8">
        <f t="shared" si="3"/>
        <v>21785.47901216372</v>
      </c>
      <c r="L8">
        <f t="shared" si="4"/>
        <v>1.3870347907918301E-3</v>
      </c>
      <c r="M8">
        <f t="shared" si="5"/>
        <v>8.5825101337348997E-3</v>
      </c>
      <c r="N8">
        <f t="shared" si="6"/>
        <v>1.608051799336585E-2</v>
      </c>
    </row>
    <row r="9" spans="1:14" x14ac:dyDescent="0.45">
      <c r="A9" s="1" t="s">
        <v>6</v>
      </c>
      <c r="B9" s="1"/>
      <c r="C9" s="2"/>
      <c r="D9" s="2">
        <v>3.5381999999999998</v>
      </c>
      <c r="E9" s="2">
        <v>2.9577</v>
      </c>
      <c r="F9" s="2"/>
      <c r="G9" s="2">
        <v>19326.206999999999</v>
      </c>
      <c r="H9" s="2">
        <v>43260.195299999999</v>
      </c>
      <c r="I9" t="e">
        <f t="shared" si="1"/>
        <v>#DIV/0!</v>
      </c>
      <c r="J9">
        <f t="shared" si="2"/>
        <v>5462.157876886552</v>
      </c>
      <c r="K9">
        <f t="shared" si="3"/>
        <v>14626.29587179227</v>
      </c>
      <c r="L9" t="e">
        <f t="shared" si="4"/>
        <v>#DIV/0!</v>
      </c>
      <c r="M9" t="e">
        <f t="shared" si="5"/>
        <v>#DIV/0!</v>
      </c>
      <c r="N9">
        <f t="shared" si="6"/>
        <v>3.4548113954612214E-2</v>
      </c>
    </row>
    <row r="10" spans="1:14" x14ac:dyDescent="0.45">
      <c r="A10" s="1" t="s">
        <v>7</v>
      </c>
      <c r="B10" s="1"/>
      <c r="C10" s="2"/>
      <c r="D10" s="2">
        <v>6.25E-2</v>
      </c>
      <c r="E10" s="2">
        <v>9.7100000000000006E-2</v>
      </c>
      <c r="F10" s="2"/>
      <c r="G10" s="2">
        <v>698.21410000000003</v>
      </c>
      <c r="H10" s="2">
        <v>1511.5450000000001</v>
      </c>
      <c r="I10" t="e">
        <f t="shared" si="1"/>
        <v>#DIV/0!</v>
      </c>
      <c r="J10">
        <f t="shared" si="2"/>
        <v>11171.4256</v>
      </c>
      <c r="K10">
        <f t="shared" si="3"/>
        <v>15566.889804325438</v>
      </c>
      <c r="L10" t="e">
        <f t="shared" si="4"/>
        <v>#DIV/0!</v>
      </c>
      <c r="M10" t="e">
        <f t="shared" si="5"/>
        <v>#DIV/0!</v>
      </c>
      <c r="N10">
        <f t="shared" si="6"/>
        <v>1.1506628017545983E-2</v>
      </c>
    </row>
    <row r="11" spans="1:14" x14ac:dyDescent="0.45">
      <c r="A11" s="1" t="s">
        <v>8</v>
      </c>
      <c r="B11" s="1"/>
      <c r="C11" s="2">
        <v>10.47</v>
      </c>
      <c r="D11" s="2">
        <v>16.960599999999999</v>
      </c>
      <c r="E11" s="2">
        <v>25.203199999999999</v>
      </c>
      <c r="F11" s="2">
        <v>185281.2813</v>
      </c>
      <c r="G11" s="2">
        <v>555263.6875</v>
      </c>
      <c r="H11" s="2">
        <v>1315734.25</v>
      </c>
      <c r="I11">
        <f t="shared" si="1"/>
        <v>17696.397449856733</v>
      </c>
      <c r="J11">
        <f t="shared" si="2"/>
        <v>32738.446016060752</v>
      </c>
      <c r="K11">
        <f t="shared" si="3"/>
        <v>52205.047374936519</v>
      </c>
      <c r="L11">
        <f t="shared" si="4"/>
        <v>2.0717999476985272E-2</v>
      </c>
      <c r="M11">
        <f t="shared" si="5"/>
        <v>1.8505034749068283E-2</v>
      </c>
      <c r="N11">
        <f t="shared" si="6"/>
        <v>1.6220809593668895E-2</v>
      </c>
    </row>
    <row r="12" spans="1:14" x14ac:dyDescent="0.45">
      <c r="A12" s="1" t="s">
        <v>9</v>
      </c>
      <c r="B12" s="1"/>
      <c r="C12" s="2">
        <v>7.0937999999999999</v>
      </c>
      <c r="D12" s="2">
        <v>7.7239000000000004</v>
      </c>
      <c r="E12" s="2">
        <v>8.9550999999999998</v>
      </c>
      <c r="F12" s="2">
        <v>98201.617199999993</v>
      </c>
      <c r="G12" s="2">
        <v>276407.03129999997</v>
      </c>
      <c r="H12" s="2">
        <v>476723.3125</v>
      </c>
      <c r="I12">
        <f t="shared" si="1"/>
        <v>13843.302207561532</v>
      </c>
      <c r="J12">
        <f t="shared" si="2"/>
        <v>35785.941208456861</v>
      </c>
      <c r="K12">
        <f t="shared" si="3"/>
        <v>53234.839644448417</v>
      </c>
      <c r="L12">
        <f t="shared" si="4"/>
        <v>3.2164912336666296E-2</v>
      </c>
      <c r="M12">
        <f t="shared" si="5"/>
        <v>2.3091585327341679E-2</v>
      </c>
      <c r="N12">
        <f t="shared" si="6"/>
        <v>1.3789309196635013E-2</v>
      </c>
    </row>
    <row r="13" spans="1:14" x14ac:dyDescent="0.45">
      <c r="A13" s="1" t="s">
        <v>10</v>
      </c>
      <c r="B13" s="1"/>
      <c r="C13" s="2"/>
      <c r="D13" s="2">
        <v>7.2427999999999999</v>
      </c>
      <c r="E13" s="2">
        <v>10.047700000000001</v>
      </c>
      <c r="F13" s="2"/>
      <c r="G13" s="2">
        <v>55394.679700000001</v>
      </c>
      <c r="H13" s="2">
        <v>143939.8125</v>
      </c>
      <c r="I13" t="e">
        <f t="shared" si="1"/>
        <v>#DIV/0!</v>
      </c>
      <c r="J13">
        <f t="shared" si="2"/>
        <v>7648.2409703429612</v>
      </c>
      <c r="K13">
        <f t="shared" si="3"/>
        <v>14325.647909471818</v>
      </c>
      <c r="L13" t="e">
        <f t="shared" si="4"/>
        <v>#DIV/0!</v>
      </c>
      <c r="M13" t="e">
        <f t="shared" si="5"/>
        <v>#DIV/0!</v>
      </c>
      <c r="N13">
        <f t="shared" si="6"/>
        <v>2.1876399968943083E-2</v>
      </c>
    </row>
    <row r="14" spans="1:14" x14ac:dyDescent="0.45">
      <c r="A14" s="1" t="s">
        <v>11</v>
      </c>
      <c r="B14" s="1"/>
      <c r="C14" s="2">
        <v>2.7812000000000001</v>
      </c>
      <c r="D14" s="2">
        <v>5.4390000000000001</v>
      </c>
      <c r="E14" s="2">
        <v>11.5306</v>
      </c>
      <c r="F14" s="2">
        <v>1941.1539</v>
      </c>
      <c r="G14" s="2">
        <v>6019.7152999999998</v>
      </c>
      <c r="H14" s="2">
        <v>9250.6758000000009</v>
      </c>
      <c r="I14">
        <f t="shared" si="1"/>
        <v>697.95552279591539</v>
      </c>
      <c r="J14">
        <f t="shared" si="2"/>
        <v>1106.7687626401912</v>
      </c>
      <c r="K14">
        <f t="shared" si="3"/>
        <v>802.27185055417772</v>
      </c>
      <c r="L14">
        <f t="shared" si="4"/>
        <v>1.5486852184100952E-2</v>
      </c>
      <c r="M14">
        <f t="shared" si="5"/>
        <v>2.3636727481011199E-3</v>
      </c>
      <c r="N14">
        <f t="shared" si="6"/>
        <v>-1.1033592511222712E-2</v>
      </c>
    </row>
    <row r="15" spans="1:14" x14ac:dyDescent="0.45">
      <c r="A15" s="1" t="s">
        <v>12</v>
      </c>
      <c r="B15" s="1"/>
      <c r="C15" s="2">
        <v>9.1134000000000004</v>
      </c>
      <c r="D15" s="2">
        <v>10.006500000000001</v>
      </c>
      <c r="E15" s="2">
        <v>11.539300000000001</v>
      </c>
      <c r="F15" s="2">
        <v>115497.2969</v>
      </c>
      <c r="G15" s="2">
        <v>318085.71879999997</v>
      </c>
      <c r="H15" s="2">
        <v>534102.3125</v>
      </c>
      <c r="I15">
        <f t="shared" si="1"/>
        <v>12673.348794083437</v>
      </c>
      <c r="J15">
        <f t="shared" si="2"/>
        <v>31787.90973866986</v>
      </c>
      <c r="K15">
        <f t="shared" si="3"/>
        <v>46285.503670066639</v>
      </c>
      <c r="L15">
        <f t="shared" si="4"/>
        <v>3.1127460139948937E-2</v>
      </c>
      <c r="M15">
        <f t="shared" si="5"/>
        <v>2.2197482173478944E-2</v>
      </c>
      <c r="N15">
        <f t="shared" si="6"/>
        <v>1.3040949189111251E-2</v>
      </c>
    </row>
    <row r="16" spans="1:14" x14ac:dyDescent="0.45">
      <c r="A16" s="1" t="s">
        <v>13</v>
      </c>
      <c r="B16" s="1"/>
      <c r="C16" s="2">
        <v>2.2846000000000002</v>
      </c>
      <c r="D16" s="2">
        <v>4.9785000000000004</v>
      </c>
      <c r="E16" s="2">
        <v>11.8012</v>
      </c>
      <c r="F16" s="2">
        <v>2509.5444000000002</v>
      </c>
      <c r="G16" s="2">
        <v>7488.2138999999997</v>
      </c>
      <c r="H16" s="2">
        <v>39131.945299999999</v>
      </c>
      <c r="I16">
        <f t="shared" si="1"/>
        <v>1098.461174822726</v>
      </c>
      <c r="J16">
        <f t="shared" si="2"/>
        <v>1504.110454956312</v>
      </c>
      <c r="K16">
        <f t="shared" si="3"/>
        <v>3315.929337694472</v>
      </c>
      <c r="L16">
        <f t="shared" si="4"/>
        <v>1.0531449249298275E-2</v>
      </c>
      <c r="M16">
        <f t="shared" si="5"/>
        <v>1.8902321596529825E-2</v>
      </c>
      <c r="N16">
        <f t="shared" si="6"/>
        <v>2.7634820729639742E-2</v>
      </c>
    </row>
    <row r="17" spans="1:14" x14ac:dyDescent="0.45">
      <c r="A17" s="1" t="s">
        <v>14</v>
      </c>
      <c r="B17" s="1"/>
      <c r="C17" s="2">
        <v>5.1600999999999999</v>
      </c>
      <c r="D17" s="2">
        <v>8.8109999999999999</v>
      </c>
      <c r="E17" s="2">
        <v>20.321400000000001</v>
      </c>
      <c r="F17" s="2">
        <v>3841.9421000000002</v>
      </c>
      <c r="G17" s="2">
        <v>8509.2891</v>
      </c>
      <c r="H17" s="2">
        <v>41563.882799999999</v>
      </c>
      <c r="I17">
        <f t="shared" si="1"/>
        <v>744.54799325594468</v>
      </c>
      <c r="J17">
        <f t="shared" si="2"/>
        <v>965.75747361252979</v>
      </c>
      <c r="K17">
        <f t="shared" si="3"/>
        <v>2045.3257551152972</v>
      </c>
      <c r="L17">
        <f t="shared" si="4"/>
        <v>8.708884468000333E-3</v>
      </c>
      <c r="M17">
        <f t="shared" si="5"/>
        <v>1.7275232757421266E-2</v>
      </c>
      <c r="N17">
        <f t="shared" si="6"/>
        <v>2.6213534705518793E-2</v>
      </c>
    </row>
    <row r="18" spans="1:14" x14ac:dyDescent="0.45">
      <c r="A18" s="1" t="s">
        <v>15</v>
      </c>
      <c r="B18" s="1"/>
      <c r="C18" s="2">
        <v>52.080100000000002</v>
      </c>
      <c r="D18" s="2">
        <v>103.172</v>
      </c>
      <c r="E18" s="2">
        <v>163.0462</v>
      </c>
      <c r="F18" s="2">
        <v>79232.656300000002</v>
      </c>
      <c r="G18" s="2">
        <v>151626.20310000001</v>
      </c>
      <c r="H18" s="2">
        <v>766135.3125</v>
      </c>
      <c r="I18">
        <f t="shared" si="1"/>
        <v>1521.3614470786347</v>
      </c>
      <c r="J18">
        <f t="shared" si="2"/>
        <v>1469.6448949327339</v>
      </c>
      <c r="K18">
        <f t="shared" si="3"/>
        <v>4698.8848099495726</v>
      </c>
      <c r="L18">
        <f t="shared" si="4"/>
        <v>-1.1521630598894106E-3</v>
      </c>
      <c r="M18">
        <f t="shared" si="5"/>
        <v>1.9297731090926362E-2</v>
      </c>
      <c r="N18">
        <f t="shared" si="6"/>
        <v>4.0893482547394555E-2</v>
      </c>
    </row>
    <row r="19" spans="1:14" x14ac:dyDescent="0.45">
      <c r="A19" s="1" t="s">
        <v>16</v>
      </c>
      <c r="B19" s="1"/>
      <c r="C19" s="2"/>
      <c r="D19" s="2">
        <v>8.8414999999999999</v>
      </c>
      <c r="E19" s="2">
        <v>7.0000999999999998</v>
      </c>
      <c r="F19" s="2"/>
      <c r="G19" s="2">
        <v>94916.656300000002</v>
      </c>
      <c r="H19" s="2">
        <v>148186.92189999999</v>
      </c>
      <c r="I19" t="e">
        <f t="shared" si="1"/>
        <v>#DIV/0!</v>
      </c>
      <c r="J19">
        <f t="shared" si="2"/>
        <v>10735.356704179156</v>
      </c>
      <c r="K19">
        <f t="shared" si="3"/>
        <v>21169.257853459236</v>
      </c>
      <c r="L19" t="e">
        <f t="shared" si="4"/>
        <v>#DIV/0!</v>
      </c>
      <c r="M19" t="e">
        <f t="shared" si="5"/>
        <v>#DIV/0!</v>
      </c>
      <c r="N19">
        <f t="shared" si="6"/>
        <v>2.369030792679605E-2</v>
      </c>
    </row>
    <row r="20" spans="1:14" x14ac:dyDescent="0.45">
      <c r="A20" s="1" t="s">
        <v>17</v>
      </c>
      <c r="B20" s="1"/>
      <c r="C20" s="2"/>
      <c r="D20" s="2">
        <v>0.49590000000000001</v>
      </c>
      <c r="E20" s="2">
        <v>1.6412</v>
      </c>
      <c r="F20" s="2"/>
      <c r="G20" s="2">
        <v>21245.273399999998</v>
      </c>
      <c r="H20" s="2">
        <v>76237.617199999993</v>
      </c>
      <c r="I20" t="e">
        <f t="shared" si="1"/>
        <v>#DIV/0!</v>
      </c>
      <c r="J20">
        <f t="shared" si="2"/>
        <v>42841.849969751958</v>
      </c>
      <c r="K20">
        <f t="shared" si="3"/>
        <v>46452.362417743112</v>
      </c>
      <c r="L20" t="e">
        <f t="shared" si="4"/>
        <v>#DIV/0!</v>
      </c>
      <c r="M20" t="e">
        <f t="shared" si="5"/>
        <v>#DIV/0!</v>
      </c>
      <c r="N20">
        <f t="shared" si="6"/>
        <v>2.7939612152743099E-3</v>
      </c>
    </row>
    <row r="21" spans="1:14" x14ac:dyDescent="0.45">
      <c r="A21" s="1" t="s">
        <v>18</v>
      </c>
      <c r="B21" s="1"/>
      <c r="C21" s="2"/>
      <c r="D21" s="2">
        <v>0.25619999999999998</v>
      </c>
      <c r="E21" s="2">
        <v>0.38950000000000001</v>
      </c>
      <c r="F21" s="2"/>
      <c r="G21" s="2">
        <v>8281.3662000000004</v>
      </c>
      <c r="H21" s="2">
        <v>12739.7637</v>
      </c>
      <c r="I21" t="e">
        <f t="shared" si="1"/>
        <v>#DIV/0!</v>
      </c>
      <c r="J21">
        <f t="shared" si="2"/>
        <v>32323.833723653399</v>
      </c>
      <c r="K21">
        <f t="shared" si="3"/>
        <v>32707.994094993581</v>
      </c>
      <c r="L21" t="e">
        <f t="shared" si="4"/>
        <v>#DIV/0!</v>
      </c>
      <c r="M21" t="e">
        <f t="shared" si="5"/>
        <v>#DIV/0!</v>
      </c>
      <c r="N21">
        <f t="shared" si="6"/>
        <v>4.0748546368862826E-4</v>
      </c>
    </row>
    <row r="22" spans="1:14" x14ac:dyDescent="0.45">
      <c r="A22" s="1" t="s">
        <v>19</v>
      </c>
      <c r="B22" s="1"/>
      <c r="C22" s="2"/>
      <c r="D22" s="2">
        <v>4.4634</v>
      </c>
      <c r="E22" s="2">
        <v>3.3010000000000002</v>
      </c>
      <c r="F22" s="2"/>
      <c r="G22" s="2">
        <v>8624.2724999999991</v>
      </c>
      <c r="H22" s="2">
        <v>45161.164100000002</v>
      </c>
      <c r="I22" t="e">
        <f t="shared" si="1"/>
        <v>#DIV/0!</v>
      </c>
      <c r="J22">
        <f t="shared" si="2"/>
        <v>1932.2203925258768</v>
      </c>
      <c r="K22">
        <f t="shared" si="3"/>
        <v>13681.055468039987</v>
      </c>
      <c r="L22" t="e">
        <f t="shared" si="4"/>
        <v>#DIV/0!</v>
      </c>
      <c r="M22" t="e">
        <f t="shared" si="5"/>
        <v>#DIV/0!</v>
      </c>
      <c r="N22">
        <f t="shared" si="6"/>
        <v>6.9824440446303759E-2</v>
      </c>
    </row>
    <row r="23" spans="1:14" x14ac:dyDescent="0.45">
      <c r="A23" s="1" t="s">
        <v>20</v>
      </c>
      <c r="B23" s="1"/>
      <c r="C23" s="2"/>
      <c r="D23" s="2">
        <v>10.1511</v>
      </c>
      <c r="E23" s="2">
        <v>9.4524000000000008</v>
      </c>
      <c r="F23" s="2"/>
      <c r="G23" s="2">
        <v>100207.7344</v>
      </c>
      <c r="H23" s="2">
        <v>200419.1875</v>
      </c>
      <c r="I23" t="e">
        <f t="shared" si="1"/>
        <v>#DIV/0!</v>
      </c>
      <c r="J23">
        <f t="shared" si="2"/>
        <v>9871.6133620986893</v>
      </c>
      <c r="K23">
        <f t="shared" si="3"/>
        <v>21202.994742076084</v>
      </c>
      <c r="L23" t="e">
        <f t="shared" si="4"/>
        <v>#DIV/0!</v>
      </c>
      <c r="M23" t="e">
        <f t="shared" si="5"/>
        <v>#DIV/0!</v>
      </c>
      <c r="N23">
        <f t="shared" si="6"/>
        <v>2.6711883146501636E-2</v>
      </c>
    </row>
    <row r="24" spans="1:14" x14ac:dyDescent="0.45">
      <c r="A24" s="1" t="s">
        <v>21</v>
      </c>
      <c r="B24" s="1"/>
      <c r="C24" s="2"/>
      <c r="D24" s="2">
        <v>0.18759999999999999</v>
      </c>
      <c r="E24" s="2">
        <v>0.39040000000000002</v>
      </c>
      <c r="F24" s="2"/>
      <c r="G24" s="2">
        <v>901.15049999999997</v>
      </c>
      <c r="H24" s="2">
        <v>2384.4171999999999</v>
      </c>
      <c r="I24" t="e">
        <f t="shared" si="1"/>
        <v>#DIV/0!</v>
      </c>
      <c r="J24">
        <f t="shared" si="2"/>
        <v>4803.5740938166309</v>
      </c>
      <c r="K24">
        <f t="shared" si="3"/>
        <v>6107.6260245901631</v>
      </c>
      <c r="L24" t="e">
        <f t="shared" si="4"/>
        <v>#DIV/0!</v>
      </c>
      <c r="M24" t="e">
        <f t="shared" si="5"/>
        <v>#DIV/0!</v>
      </c>
      <c r="N24">
        <f t="shared" si="6"/>
        <v>8.3163876689886784E-3</v>
      </c>
    </row>
    <row r="25" spans="1:14" x14ac:dyDescent="0.45">
      <c r="A25" s="1" t="s">
        <v>22</v>
      </c>
      <c r="B25" s="1"/>
      <c r="C25" s="2"/>
      <c r="D25" s="2">
        <v>6.1600000000000002E-2</v>
      </c>
      <c r="E25" s="2">
        <v>6.25E-2</v>
      </c>
      <c r="F25" s="2"/>
      <c r="G25" s="2">
        <v>2108.2815000000001</v>
      </c>
      <c r="H25" s="2">
        <v>3258.4353000000001</v>
      </c>
      <c r="I25" t="e">
        <f t="shared" si="1"/>
        <v>#DIV/0!</v>
      </c>
      <c r="J25">
        <f t="shared" si="2"/>
        <v>34225.349025974028</v>
      </c>
      <c r="K25">
        <f t="shared" si="3"/>
        <v>52134.964800000002</v>
      </c>
      <c r="L25" t="e">
        <f t="shared" si="4"/>
        <v>#DIV/0!</v>
      </c>
      <c r="M25" t="e">
        <f t="shared" si="5"/>
        <v>#DIV/0!</v>
      </c>
      <c r="N25">
        <f t="shared" si="6"/>
        <v>1.4618554250895421E-2</v>
      </c>
    </row>
    <row r="26" spans="1:14" x14ac:dyDescent="0.45">
      <c r="A26" s="1" t="s">
        <v>23</v>
      </c>
      <c r="B26" s="1"/>
      <c r="C26" s="2">
        <v>3.5428999999999999</v>
      </c>
      <c r="D26" s="2">
        <v>6.8647999999999998</v>
      </c>
      <c r="E26" s="2">
        <v>11.5131</v>
      </c>
      <c r="F26" s="2">
        <v>15939.5322</v>
      </c>
      <c r="G26" s="2">
        <v>30568.9277</v>
      </c>
      <c r="H26" s="2">
        <v>97502.523400000005</v>
      </c>
      <c r="I26">
        <f t="shared" si="1"/>
        <v>4499.0070845917189</v>
      </c>
      <c r="J26">
        <f t="shared" si="2"/>
        <v>4452.9961105931707</v>
      </c>
      <c r="K26">
        <f t="shared" si="3"/>
        <v>8468.8331900183275</v>
      </c>
      <c r="L26">
        <f t="shared" si="4"/>
        <v>-3.4259368995603889E-4</v>
      </c>
      <c r="M26">
        <f t="shared" si="5"/>
        <v>1.0778624740136911E-2</v>
      </c>
      <c r="N26">
        <f t="shared" si="6"/>
        <v>2.2413547020562197E-2</v>
      </c>
    </row>
    <row r="27" spans="1:14" x14ac:dyDescent="0.45">
      <c r="A27" s="1" t="s">
        <v>24</v>
      </c>
      <c r="B27" s="1"/>
      <c r="C27" s="2">
        <v>71.266900000000007</v>
      </c>
      <c r="D27" s="2">
        <v>149.00319999999999</v>
      </c>
      <c r="E27" s="2">
        <v>211.04949999999999</v>
      </c>
      <c r="F27" s="2">
        <v>285613.4375</v>
      </c>
      <c r="G27" s="2">
        <v>1568622.125</v>
      </c>
      <c r="H27" s="2">
        <v>3042119</v>
      </c>
      <c r="I27">
        <f t="shared" si="1"/>
        <v>4007.6590605175752</v>
      </c>
      <c r="J27">
        <f t="shared" si="2"/>
        <v>10527.439175802936</v>
      </c>
      <c r="K27">
        <f t="shared" si="3"/>
        <v>14414.244051750893</v>
      </c>
      <c r="L27">
        <f t="shared" si="4"/>
        <v>3.2716380717784599E-2</v>
      </c>
      <c r="M27">
        <f t="shared" si="5"/>
        <v>2.1932127204829399E-2</v>
      </c>
      <c r="N27">
        <f t="shared" si="6"/>
        <v>1.0894496270639653E-2</v>
      </c>
    </row>
    <row r="28" spans="1:14" x14ac:dyDescent="0.45">
      <c r="A28" s="1" t="s">
        <v>25</v>
      </c>
      <c r="B28" s="1"/>
      <c r="C28" s="2">
        <v>0.23250000000000001</v>
      </c>
      <c r="D28" s="2">
        <v>0.26090000000000002</v>
      </c>
      <c r="E28" s="2">
        <v>0.28699999999999998</v>
      </c>
      <c r="F28" s="2">
        <v>963.4434</v>
      </c>
      <c r="G28" s="2">
        <v>2712.585</v>
      </c>
      <c r="H28" s="2">
        <v>3355.1042000000002</v>
      </c>
      <c r="I28">
        <f t="shared" si="1"/>
        <v>4143.8425806451614</v>
      </c>
      <c r="J28">
        <f t="shared" si="2"/>
        <v>10397.029513223457</v>
      </c>
      <c r="K28">
        <f t="shared" si="3"/>
        <v>11690.258536585368</v>
      </c>
      <c r="L28">
        <f t="shared" si="4"/>
        <v>3.1138179536214006E-2</v>
      </c>
      <c r="M28">
        <f t="shared" si="5"/>
        <v>1.7733926209340334E-2</v>
      </c>
      <c r="N28">
        <f t="shared" si="6"/>
        <v>4.0507944358991743E-3</v>
      </c>
    </row>
    <row r="29" spans="1:14" x14ac:dyDescent="0.45">
      <c r="A29" s="1" t="s">
        <v>26</v>
      </c>
      <c r="B29" s="1"/>
      <c r="C29" s="2"/>
      <c r="D29" s="2">
        <v>0.25869999999999999</v>
      </c>
      <c r="E29" s="2">
        <v>0.43330000000000002</v>
      </c>
      <c r="F29" s="2"/>
      <c r="G29" s="2">
        <v>19452.2363</v>
      </c>
      <c r="H29" s="2">
        <v>28401.2559</v>
      </c>
      <c r="I29" t="e">
        <f t="shared" si="1"/>
        <v>#DIV/0!</v>
      </c>
      <c r="J29">
        <f t="shared" si="2"/>
        <v>75192.254735214534</v>
      </c>
      <c r="K29">
        <f t="shared" si="3"/>
        <v>65546.401800138468</v>
      </c>
      <c r="L29" t="e">
        <f t="shared" si="4"/>
        <v>#DIV/0!</v>
      </c>
      <c r="M29" t="e">
        <f t="shared" si="5"/>
        <v>#DIV/0!</v>
      </c>
      <c r="N29">
        <f t="shared" si="6"/>
        <v>-4.7229466062040926E-3</v>
      </c>
    </row>
    <row r="30" spans="1:14" x14ac:dyDescent="0.45">
      <c r="A30" s="1" t="s">
        <v>27</v>
      </c>
      <c r="B30" s="1"/>
      <c r="C30" s="2"/>
      <c r="D30" s="2">
        <v>0.53080000000000005</v>
      </c>
      <c r="E30" s="2">
        <v>0.7631</v>
      </c>
      <c r="F30" s="2"/>
      <c r="G30" s="2">
        <v>1475.5603000000001</v>
      </c>
      <c r="H30" s="2">
        <v>8922.6386999999995</v>
      </c>
      <c r="I30" t="e">
        <f t="shared" si="1"/>
        <v>#DIV/0!</v>
      </c>
      <c r="J30">
        <f t="shared" si="2"/>
        <v>2779.8799924642049</v>
      </c>
      <c r="K30">
        <f t="shared" si="3"/>
        <v>11692.620495347923</v>
      </c>
      <c r="L30" t="e">
        <f t="shared" si="4"/>
        <v>#DIV/0!</v>
      </c>
      <c r="M30" t="e">
        <f t="shared" si="5"/>
        <v>#DIV/0!</v>
      </c>
      <c r="N30">
        <f t="shared" si="6"/>
        <v>5.0783642841063514E-2</v>
      </c>
    </row>
    <row r="31" spans="1:14" x14ac:dyDescent="0.45">
      <c r="A31" s="1" t="s">
        <v>28</v>
      </c>
      <c r="B31" s="1"/>
      <c r="C31" s="2">
        <v>0.53390000000000004</v>
      </c>
      <c r="D31" s="2">
        <v>1.2867999999999999</v>
      </c>
      <c r="E31" s="2">
        <v>2.3037000000000001</v>
      </c>
      <c r="F31" s="2">
        <v>439.07170000000002</v>
      </c>
      <c r="G31" s="2">
        <v>10963.207</v>
      </c>
      <c r="H31" s="2">
        <v>38448.847699999998</v>
      </c>
      <c r="I31">
        <f t="shared" si="1"/>
        <v>822.38565274395955</v>
      </c>
      <c r="J31">
        <f t="shared" si="2"/>
        <v>8519.744327012746</v>
      </c>
      <c r="K31">
        <f t="shared" si="3"/>
        <v>16690.04110778313</v>
      </c>
      <c r="L31">
        <f t="shared" si="4"/>
        <v>8.1048141682360297E-2</v>
      </c>
      <c r="M31">
        <f t="shared" si="5"/>
        <v>5.2347115372350927E-2</v>
      </c>
      <c r="N31">
        <f t="shared" si="6"/>
        <v>2.345800952952537E-2</v>
      </c>
    </row>
    <row r="32" spans="1:14" x14ac:dyDescent="0.45">
      <c r="A32" s="1" t="s">
        <v>29</v>
      </c>
      <c r="B32" s="1"/>
      <c r="C32" s="2">
        <v>1.4450000000000001</v>
      </c>
      <c r="D32" s="2">
        <v>2.8067000000000002</v>
      </c>
      <c r="E32" s="2">
        <v>4.7451999999999996</v>
      </c>
      <c r="F32" s="2">
        <v>2730.0063</v>
      </c>
      <c r="G32" s="2">
        <v>3736.7689999999998</v>
      </c>
      <c r="H32" s="2">
        <v>4558.3940000000002</v>
      </c>
      <c r="I32">
        <f t="shared" si="1"/>
        <v>1889.2777162629757</v>
      </c>
      <c r="J32">
        <f t="shared" si="2"/>
        <v>1331.3745679980045</v>
      </c>
      <c r="K32">
        <f t="shared" si="3"/>
        <v>960.6326392986598</v>
      </c>
      <c r="L32">
        <f t="shared" si="4"/>
        <v>-1.1598304266182802E-2</v>
      </c>
      <c r="M32">
        <f t="shared" si="5"/>
        <v>-1.1398233909264088E-2</v>
      </c>
      <c r="N32">
        <f t="shared" si="6"/>
        <v>-1.1191221957773556E-2</v>
      </c>
    </row>
    <row r="33" spans="1:14" x14ac:dyDescent="0.45">
      <c r="A33" s="1" t="s">
        <v>30</v>
      </c>
      <c r="B33" s="1"/>
      <c r="C33" s="2">
        <v>17.9513</v>
      </c>
      <c r="D33" s="2">
        <v>27.5413</v>
      </c>
      <c r="E33" s="2">
        <v>37.411000000000001</v>
      </c>
      <c r="F33" s="2">
        <v>310435.4375</v>
      </c>
      <c r="G33" s="2">
        <v>973635.25</v>
      </c>
      <c r="H33" s="2">
        <v>1874187.25</v>
      </c>
      <c r="I33">
        <f t="shared" si="1"/>
        <v>17293.200910240485</v>
      </c>
      <c r="J33">
        <f t="shared" si="2"/>
        <v>35351.826166520827</v>
      </c>
      <c r="K33">
        <f t="shared" si="3"/>
        <v>50097.224078479587</v>
      </c>
      <c r="L33">
        <f t="shared" si="4"/>
        <v>2.4120867763557818E-2</v>
      </c>
      <c r="M33">
        <f t="shared" si="5"/>
        <v>1.8191488556188462E-2</v>
      </c>
      <c r="N33">
        <f t="shared" si="6"/>
        <v>1.2093771143007581E-2</v>
      </c>
    </row>
    <row r="34" spans="1:14" x14ac:dyDescent="0.45">
      <c r="A34" s="1" t="s">
        <v>31</v>
      </c>
      <c r="B34" s="1"/>
      <c r="C34" s="2">
        <v>5.2625999999999999</v>
      </c>
      <c r="D34" s="2">
        <v>6.6528999999999998</v>
      </c>
      <c r="E34" s="2">
        <v>8.5914000000000001</v>
      </c>
      <c r="F34" s="2">
        <v>180308.10939999999</v>
      </c>
      <c r="G34" s="2">
        <v>403219.59379999997</v>
      </c>
      <c r="H34" s="2">
        <v>648257.25</v>
      </c>
      <c r="I34">
        <f t="shared" si="1"/>
        <v>34262.172576293087</v>
      </c>
      <c r="J34">
        <f t="shared" si="2"/>
        <v>60608.094785732537</v>
      </c>
      <c r="K34">
        <f t="shared" si="3"/>
        <v>75454.204204204201</v>
      </c>
      <c r="L34">
        <f t="shared" si="4"/>
        <v>1.91947810689439E-2</v>
      </c>
      <c r="M34">
        <f t="shared" si="5"/>
        <v>1.3471012123464465E-2</v>
      </c>
      <c r="N34">
        <f t="shared" si="6"/>
        <v>7.5836959310597862E-3</v>
      </c>
    </row>
    <row r="35" spans="1:14" x14ac:dyDescent="0.45">
      <c r="A35" s="1" t="s">
        <v>32</v>
      </c>
      <c r="B35" s="1"/>
      <c r="C35" s="2">
        <v>7.9210000000000003</v>
      </c>
      <c r="D35" s="2">
        <v>13.2746</v>
      </c>
      <c r="E35" s="2">
        <v>18.952000000000002</v>
      </c>
      <c r="F35" s="2">
        <v>46879.4375</v>
      </c>
      <c r="G35" s="2">
        <v>121672.97659999999</v>
      </c>
      <c r="H35" s="2">
        <v>443616.21879999997</v>
      </c>
      <c r="I35">
        <f t="shared" si="1"/>
        <v>5918.3736270672889</v>
      </c>
      <c r="J35">
        <f t="shared" si="2"/>
        <v>9165.8488090036608</v>
      </c>
      <c r="K35">
        <f t="shared" si="3"/>
        <v>23407.356416209368</v>
      </c>
      <c r="L35">
        <f t="shared" si="4"/>
        <v>1.4687577986946199E-2</v>
      </c>
      <c r="M35">
        <f t="shared" si="5"/>
        <v>2.3578573514583701E-2</v>
      </c>
      <c r="N35">
        <f t="shared" si="6"/>
        <v>3.2858144806886536E-2</v>
      </c>
    </row>
    <row r="36" spans="1:14" x14ac:dyDescent="0.45">
      <c r="A36" s="1" t="s">
        <v>33</v>
      </c>
      <c r="B36" s="1"/>
      <c r="C36" s="2">
        <v>656.36940000000004</v>
      </c>
      <c r="D36" s="2">
        <v>1176.8837000000001</v>
      </c>
      <c r="E36" s="2">
        <v>1433.7837</v>
      </c>
      <c r="F36" s="2">
        <v>689786.875</v>
      </c>
      <c r="G36" s="2">
        <v>3165272</v>
      </c>
      <c r="H36" s="2">
        <v>20572606</v>
      </c>
      <c r="I36">
        <f t="shared" si="1"/>
        <v>1050.9126034821245</v>
      </c>
      <c r="J36">
        <f t="shared" si="2"/>
        <v>2689.5367826064717</v>
      </c>
      <c r="K36">
        <f t="shared" si="3"/>
        <v>14348.472506696791</v>
      </c>
      <c r="L36">
        <f t="shared" si="4"/>
        <v>3.1819416983903226E-2</v>
      </c>
      <c r="M36">
        <f t="shared" si="5"/>
        <v>4.5300938118628453E-2</v>
      </c>
      <c r="N36">
        <f t="shared" si="6"/>
        <v>5.9432729327217881E-2</v>
      </c>
    </row>
    <row r="37" spans="1:14" x14ac:dyDescent="0.45">
      <c r="A37" s="1" t="s">
        <v>34</v>
      </c>
      <c r="B37" s="1"/>
      <c r="C37" s="2">
        <v>3.2704</v>
      </c>
      <c r="D37" s="2">
        <v>11.924899999999999</v>
      </c>
      <c r="E37" s="2">
        <v>25.7165</v>
      </c>
      <c r="F37" s="2">
        <v>8197.8623000000007</v>
      </c>
      <c r="G37" s="2">
        <v>35789.695299999999</v>
      </c>
      <c r="H37" s="2">
        <v>126227.2344</v>
      </c>
      <c r="I37">
        <f t="shared" si="1"/>
        <v>2506.6849009295502</v>
      </c>
      <c r="J37">
        <f t="shared" si="2"/>
        <v>3001.2574780501304</v>
      </c>
      <c r="K37">
        <f t="shared" si="3"/>
        <v>4908.4142243306824</v>
      </c>
      <c r="L37">
        <f t="shared" si="4"/>
        <v>6.0203913670804354E-3</v>
      </c>
      <c r="M37">
        <f t="shared" si="5"/>
        <v>1.1454766690012885E-2</v>
      </c>
      <c r="N37">
        <f t="shared" si="6"/>
        <v>1.7107427734615266E-2</v>
      </c>
    </row>
    <row r="38" spans="1:14" x14ac:dyDescent="0.45">
      <c r="A38" s="1" t="s">
        <v>35</v>
      </c>
      <c r="B38" s="1"/>
      <c r="C38" s="2">
        <v>5.4362000000000004</v>
      </c>
      <c r="D38" s="2">
        <v>11.780099999999999</v>
      </c>
      <c r="E38" s="2">
        <v>25.8764</v>
      </c>
      <c r="F38" s="2">
        <v>13982.082</v>
      </c>
      <c r="G38" s="2">
        <v>35722.804700000001</v>
      </c>
      <c r="H38" s="2">
        <v>93489.343800000002</v>
      </c>
      <c r="I38">
        <f t="shared" si="1"/>
        <v>2572.0323019756447</v>
      </c>
      <c r="J38">
        <f t="shared" si="2"/>
        <v>3032.4704119659427</v>
      </c>
      <c r="K38">
        <f t="shared" si="3"/>
        <v>3612.9192546103786</v>
      </c>
      <c r="L38">
        <f t="shared" si="4"/>
        <v>5.5044688711884948E-3</v>
      </c>
      <c r="M38">
        <f t="shared" si="5"/>
        <v>5.7762752882171142E-3</v>
      </c>
      <c r="N38">
        <f t="shared" si="6"/>
        <v>6.0575316589244199E-3</v>
      </c>
    </row>
    <row r="39" spans="1:14" x14ac:dyDescent="0.45">
      <c r="A39" s="1" t="s">
        <v>36</v>
      </c>
      <c r="B39" s="1"/>
      <c r="C39" s="2">
        <v>15.2607</v>
      </c>
      <c r="D39" s="2">
        <v>34.612000000000002</v>
      </c>
      <c r="E39" s="2">
        <v>86.790599999999998</v>
      </c>
      <c r="F39" s="2">
        <v>42396.9375</v>
      </c>
      <c r="G39" s="2">
        <v>59837.390599999999</v>
      </c>
      <c r="H39" s="2">
        <v>90530.5</v>
      </c>
      <c r="I39">
        <f t="shared" si="1"/>
        <v>2778.1777703512944</v>
      </c>
      <c r="J39">
        <f t="shared" si="2"/>
        <v>1728.8047671327861</v>
      </c>
      <c r="K39">
        <f t="shared" si="3"/>
        <v>1043.0910720746256</v>
      </c>
      <c r="L39">
        <f t="shared" si="4"/>
        <v>-1.5687809053871016E-2</v>
      </c>
      <c r="M39">
        <f t="shared" si="5"/>
        <v>-1.6466425684629971E-2</v>
      </c>
      <c r="N39">
        <f t="shared" si="6"/>
        <v>-1.7271243041159345E-2</v>
      </c>
    </row>
    <row r="40" spans="1:14" x14ac:dyDescent="0.45">
      <c r="A40" s="1" t="s">
        <v>37</v>
      </c>
      <c r="B40" s="1"/>
      <c r="C40" s="2">
        <v>1.0450999999999999</v>
      </c>
      <c r="D40" s="2">
        <v>2.3567</v>
      </c>
      <c r="E40" s="2">
        <v>5.3804999999999996</v>
      </c>
      <c r="F40" s="2">
        <v>2072.4802</v>
      </c>
      <c r="G40" s="2">
        <v>10978.8604</v>
      </c>
      <c r="H40" s="2">
        <v>19356.199199999999</v>
      </c>
      <c r="I40">
        <f t="shared" si="1"/>
        <v>1983.0448760884128</v>
      </c>
      <c r="J40">
        <f t="shared" si="2"/>
        <v>4658.5735986761147</v>
      </c>
      <c r="K40">
        <f t="shared" si="3"/>
        <v>3597.4722051853919</v>
      </c>
      <c r="L40">
        <f t="shared" si="4"/>
        <v>2.8878314957318629E-2</v>
      </c>
      <c r="M40">
        <f t="shared" si="5"/>
        <v>1.0146005771224598E-2</v>
      </c>
      <c r="N40">
        <f t="shared" si="6"/>
        <v>-8.8734267989010185E-3</v>
      </c>
    </row>
    <row r="41" spans="1:14" x14ac:dyDescent="0.45">
      <c r="A41" s="1" t="s">
        <v>38</v>
      </c>
      <c r="B41" s="1"/>
      <c r="C41" s="2">
        <v>15.9903</v>
      </c>
      <c r="D41" s="2">
        <v>33.102600000000002</v>
      </c>
      <c r="E41" s="2">
        <v>50.339399999999998</v>
      </c>
      <c r="F41" s="2">
        <v>65859.656300000002</v>
      </c>
      <c r="G41" s="2">
        <v>261696.4375</v>
      </c>
      <c r="H41" s="2">
        <v>695584.4375</v>
      </c>
      <c r="I41">
        <f t="shared" si="1"/>
        <v>4118.7254960820001</v>
      </c>
      <c r="J41">
        <f t="shared" si="2"/>
        <v>7905.6157975506449</v>
      </c>
      <c r="K41">
        <f t="shared" si="3"/>
        <v>13817.892893042032</v>
      </c>
      <c r="L41">
        <f t="shared" si="4"/>
        <v>2.1972230730983533E-2</v>
      </c>
      <c r="M41">
        <f t="shared" si="5"/>
        <v>2.0727494389563228E-2</v>
      </c>
      <c r="N41">
        <f t="shared" si="6"/>
        <v>1.9441431458494751E-2</v>
      </c>
    </row>
    <row r="42" spans="1:14" x14ac:dyDescent="0.45">
      <c r="A42" s="1" t="s">
        <v>39</v>
      </c>
      <c r="B42" s="1"/>
      <c r="C42" s="2">
        <v>0.17810000000000001</v>
      </c>
      <c r="D42" s="2">
        <v>0.41160000000000002</v>
      </c>
      <c r="E42" s="2">
        <v>0.85089999999999999</v>
      </c>
      <c r="F42" s="2">
        <v>338.61720000000003</v>
      </c>
      <c r="G42" s="2">
        <v>1334.7304999999999</v>
      </c>
      <c r="H42" s="2">
        <v>2735.2026000000001</v>
      </c>
      <c r="I42">
        <f t="shared" si="1"/>
        <v>1901.2756878158339</v>
      </c>
      <c r="J42">
        <f t="shared" si="2"/>
        <v>3242.7854713313891</v>
      </c>
      <c r="K42">
        <f t="shared" si="3"/>
        <v>3214.4818427547302</v>
      </c>
      <c r="L42">
        <f t="shared" si="4"/>
        <v>1.7956228789463902E-2</v>
      </c>
      <c r="M42">
        <f t="shared" si="5"/>
        <v>8.9404256036216267E-3</v>
      </c>
      <c r="N42">
        <f t="shared" si="6"/>
        <v>-3.0224734154160604E-4</v>
      </c>
    </row>
    <row r="43" spans="1:14" x14ac:dyDescent="0.45">
      <c r="A43" s="1" t="s">
        <v>40</v>
      </c>
      <c r="B43" s="1"/>
      <c r="C43" s="2">
        <v>0.1966</v>
      </c>
      <c r="D43" s="2">
        <v>0.33800000000000002</v>
      </c>
      <c r="E43" s="2">
        <v>0.54990000000000006</v>
      </c>
      <c r="F43" s="2">
        <v>303.87520000000001</v>
      </c>
      <c r="G43" s="2">
        <v>990.37900000000002</v>
      </c>
      <c r="H43" s="2">
        <v>4090.6016</v>
      </c>
      <c r="I43">
        <f t="shared" si="1"/>
        <v>1545.6520854526959</v>
      </c>
      <c r="J43">
        <f t="shared" si="2"/>
        <v>2930.1153846153843</v>
      </c>
      <c r="K43">
        <f t="shared" si="3"/>
        <v>7438.8099654482621</v>
      </c>
      <c r="L43">
        <f t="shared" si="4"/>
        <v>2.1548756041258388E-2</v>
      </c>
      <c r="M43">
        <f t="shared" si="5"/>
        <v>2.6989400653039786E-2</v>
      </c>
      <c r="N43">
        <f t="shared" si="6"/>
        <v>3.2648147773262304E-2</v>
      </c>
    </row>
    <row r="44" spans="1:14" x14ac:dyDescent="0.45">
      <c r="A44" s="1" t="s">
        <v>41</v>
      </c>
      <c r="B44" s="1"/>
      <c r="C44" s="2">
        <v>1.3285</v>
      </c>
      <c r="D44" s="2">
        <v>3.1194000000000002</v>
      </c>
      <c r="E44" s="2">
        <v>5.0476000000000001</v>
      </c>
      <c r="F44" s="2">
        <v>7103.9492</v>
      </c>
      <c r="G44" s="2">
        <v>28255.945299999999</v>
      </c>
      <c r="H44" s="2">
        <v>94038.679699999993</v>
      </c>
      <c r="I44">
        <f t="shared" si="1"/>
        <v>5347.3460293564167</v>
      </c>
      <c r="J44">
        <f t="shared" si="2"/>
        <v>9058.1346733346145</v>
      </c>
      <c r="K44">
        <f t="shared" si="3"/>
        <v>18630.374772168951</v>
      </c>
      <c r="L44">
        <f t="shared" si="4"/>
        <v>1.7723999952173886E-2</v>
      </c>
      <c r="M44">
        <f t="shared" si="5"/>
        <v>2.1381183108232449E-2</v>
      </c>
      <c r="N44">
        <f t="shared" si="6"/>
        <v>2.5178306232826353E-2</v>
      </c>
    </row>
    <row r="45" spans="1:14" x14ac:dyDescent="0.45">
      <c r="A45" s="1" t="s">
        <v>42</v>
      </c>
      <c r="B45" s="1"/>
      <c r="C45" s="2"/>
      <c r="D45" s="2"/>
      <c r="E45" s="2">
        <v>0.16339999999999999</v>
      </c>
      <c r="F45" s="2"/>
      <c r="G45" s="2"/>
      <c r="H45" s="2">
        <v>3380.0884000000001</v>
      </c>
      <c r="I45" t="e">
        <f t="shared" si="1"/>
        <v>#DIV/0!</v>
      </c>
      <c r="J45" t="e">
        <f t="shared" si="2"/>
        <v>#DIV/0!</v>
      </c>
      <c r="K45">
        <f t="shared" si="3"/>
        <v>20685.97552019584</v>
      </c>
      <c r="L45" t="e">
        <f t="shared" si="4"/>
        <v>#DIV/0!</v>
      </c>
      <c r="M45" t="e">
        <f t="shared" si="5"/>
        <v>#DIV/0!</v>
      </c>
      <c r="N45" t="e">
        <f t="shared" si="6"/>
        <v>#DIV/0!</v>
      </c>
    </row>
    <row r="46" spans="1:14" x14ac:dyDescent="0.45">
      <c r="A46" s="1" t="s">
        <v>43</v>
      </c>
      <c r="B46" s="1"/>
      <c r="C46" s="2"/>
      <c r="D46" s="2">
        <v>2.53E-2</v>
      </c>
      <c r="E46" s="2">
        <v>6.4899999999999999E-2</v>
      </c>
      <c r="F46" s="2"/>
      <c r="G46" s="2">
        <v>1849.6298999999999</v>
      </c>
      <c r="H46" s="2">
        <v>4589.5347000000002</v>
      </c>
      <c r="I46" t="e">
        <f t="shared" si="1"/>
        <v>#DIV/0!</v>
      </c>
      <c r="J46">
        <f t="shared" si="2"/>
        <v>73107.901185770752</v>
      </c>
      <c r="K46">
        <f t="shared" si="3"/>
        <v>70717.0215716487</v>
      </c>
      <c r="L46" t="e">
        <f t="shared" si="4"/>
        <v>#DIV/0!</v>
      </c>
      <c r="M46" t="e">
        <f t="shared" si="5"/>
        <v>#DIV/0!</v>
      </c>
      <c r="N46">
        <f t="shared" si="6"/>
        <v>-1.1458997347185695E-3</v>
      </c>
    </row>
    <row r="47" spans="1:14" x14ac:dyDescent="0.45">
      <c r="A47" s="1" t="s">
        <v>44</v>
      </c>
      <c r="B47" s="1"/>
      <c r="C47" s="2">
        <v>0.57210000000000005</v>
      </c>
      <c r="D47" s="2">
        <v>0.57940000000000003</v>
      </c>
      <c r="E47" s="2">
        <v>0.86850000000000005</v>
      </c>
      <c r="F47" s="2">
        <v>2274.1518999999998</v>
      </c>
      <c r="G47" s="2">
        <v>11867.7021</v>
      </c>
      <c r="H47" s="2">
        <v>28697.796900000001</v>
      </c>
      <c r="I47">
        <f t="shared" si="1"/>
        <v>3975.0950882712805</v>
      </c>
      <c r="J47">
        <f t="shared" si="2"/>
        <v>20482.744390749049</v>
      </c>
      <c r="K47">
        <f t="shared" si="3"/>
        <v>33042.944041450777</v>
      </c>
      <c r="L47">
        <f t="shared" si="4"/>
        <v>5.6172091569805183E-2</v>
      </c>
      <c r="M47">
        <f t="shared" si="5"/>
        <v>3.6546201874018136E-2</v>
      </c>
      <c r="N47">
        <f t="shared" si="6"/>
        <v>1.6627245263189039E-2</v>
      </c>
    </row>
    <row r="48" spans="1:14" x14ac:dyDescent="0.45">
      <c r="A48" s="1" t="s">
        <v>45</v>
      </c>
      <c r="B48" s="1"/>
      <c r="C48" s="2"/>
      <c r="D48" s="2">
        <v>10.3409</v>
      </c>
      <c r="E48" s="2">
        <v>10.6892</v>
      </c>
      <c r="F48" s="2"/>
      <c r="G48" s="2">
        <v>224322.6875</v>
      </c>
      <c r="H48" s="2">
        <v>399767.3125</v>
      </c>
      <c r="I48" t="e">
        <f t="shared" si="1"/>
        <v>#DIV/0!</v>
      </c>
      <c r="J48">
        <f t="shared" si="2"/>
        <v>21692.762477153829</v>
      </c>
      <c r="K48">
        <f t="shared" si="3"/>
        <v>37399.179779590617</v>
      </c>
      <c r="L48" t="e">
        <f t="shared" si="4"/>
        <v>#DIV/0!</v>
      </c>
      <c r="M48" t="e">
        <f t="shared" si="5"/>
        <v>#DIV/0!</v>
      </c>
      <c r="N48">
        <f t="shared" si="6"/>
        <v>1.895921346703644E-2</v>
      </c>
    </row>
    <row r="49" spans="1:14" x14ac:dyDescent="0.45">
      <c r="A49" s="1" t="s">
        <v>46</v>
      </c>
      <c r="B49" s="1"/>
      <c r="C49" s="2">
        <v>73.196299999999994</v>
      </c>
      <c r="D49" s="2">
        <v>79.054000000000002</v>
      </c>
      <c r="E49" s="2">
        <v>83.516999999999996</v>
      </c>
      <c r="F49" s="2">
        <v>1092642.25</v>
      </c>
      <c r="G49" s="2">
        <v>2817478.5</v>
      </c>
      <c r="H49" s="2">
        <v>4314067.5</v>
      </c>
      <c r="I49">
        <f t="shared" si="1"/>
        <v>14927.561229187815</v>
      </c>
      <c r="J49">
        <f t="shared" si="2"/>
        <v>35639.923343537324</v>
      </c>
      <c r="K49">
        <f t="shared" si="3"/>
        <v>51654.962462732139</v>
      </c>
      <c r="L49">
        <f t="shared" si="4"/>
        <v>2.9433420131816268E-2</v>
      </c>
      <c r="M49">
        <f t="shared" si="5"/>
        <v>2.12631959174443E-2</v>
      </c>
      <c r="N49">
        <f t="shared" si="6"/>
        <v>1.2879470131098358E-2</v>
      </c>
    </row>
    <row r="50" spans="1:14" x14ac:dyDescent="0.45">
      <c r="A50" s="1" t="s">
        <v>47</v>
      </c>
      <c r="B50" s="1"/>
      <c r="C50" s="2"/>
      <c r="D50" s="2">
        <v>0.59040000000000004</v>
      </c>
      <c r="E50" s="2">
        <v>0.97360000000000002</v>
      </c>
      <c r="F50" s="2"/>
      <c r="G50" s="2">
        <v>1026.9079999999999</v>
      </c>
      <c r="H50" s="2">
        <v>4778.2524000000003</v>
      </c>
      <c r="I50" t="e">
        <f t="shared" si="1"/>
        <v>#DIV/0!</v>
      </c>
      <c r="J50">
        <f t="shared" si="2"/>
        <v>1739.342818428184</v>
      </c>
      <c r="K50">
        <f t="shared" si="3"/>
        <v>4907.8188167625312</v>
      </c>
      <c r="L50" t="e">
        <f t="shared" si="4"/>
        <v>#DIV/0!</v>
      </c>
      <c r="M50" t="e">
        <f t="shared" si="5"/>
        <v>#DIV/0!</v>
      </c>
      <c r="N50">
        <f t="shared" si="6"/>
        <v>3.6417166409671298E-2</v>
      </c>
    </row>
    <row r="51" spans="1:14" x14ac:dyDescent="0.45">
      <c r="A51" s="1" t="s">
        <v>48</v>
      </c>
      <c r="B51" s="1"/>
      <c r="C51" s="2"/>
      <c r="D51" s="2">
        <v>7.0400000000000004E-2</v>
      </c>
      <c r="E51" s="2">
        <v>7.1800000000000003E-2</v>
      </c>
      <c r="F51" s="2"/>
      <c r="G51" s="2">
        <v>489.99310000000003</v>
      </c>
      <c r="H51" s="2">
        <v>765.77200000000005</v>
      </c>
      <c r="I51" t="e">
        <f t="shared" si="1"/>
        <v>#DIV/0!</v>
      </c>
      <c r="J51">
        <f t="shared" si="2"/>
        <v>6960.129261363636</v>
      </c>
      <c r="K51">
        <f t="shared" si="3"/>
        <v>10665.348189415043</v>
      </c>
      <c r="L51" t="e">
        <f t="shared" si="4"/>
        <v>#DIV/0!</v>
      </c>
      <c r="M51" t="e">
        <f t="shared" si="5"/>
        <v>#DIV/0!</v>
      </c>
      <c r="N51">
        <f t="shared" si="6"/>
        <v>1.4826141566984585E-2</v>
      </c>
    </row>
    <row r="52" spans="1:14" x14ac:dyDescent="0.45">
      <c r="A52" s="1" t="s">
        <v>49</v>
      </c>
      <c r="B52" s="1"/>
      <c r="C52" s="2">
        <v>4.5833000000000004</v>
      </c>
      <c r="D52" s="2">
        <v>5.1410999999999998</v>
      </c>
      <c r="E52" s="2">
        <v>5.7718999999999996</v>
      </c>
      <c r="F52" s="2">
        <v>75799.789099999995</v>
      </c>
      <c r="G52" s="2">
        <v>186221.3438</v>
      </c>
      <c r="H52" s="2">
        <v>311263.65629999997</v>
      </c>
      <c r="I52">
        <f t="shared" si="1"/>
        <v>16538.256081862412</v>
      </c>
      <c r="J52">
        <f t="shared" si="2"/>
        <v>36222.081616774623</v>
      </c>
      <c r="K52">
        <f t="shared" si="3"/>
        <v>53927.416673885549</v>
      </c>
      <c r="L52">
        <f t="shared" si="4"/>
        <v>2.6477552412917715E-2</v>
      </c>
      <c r="M52">
        <f t="shared" si="5"/>
        <v>2.0235279734800216E-2</v>
      </c>
      <c r="N52">
        <f t="shared" si="6"/>
        <v>1.3817700397406929E-2</v>
      </c>
    </row>
    <row r="53" spans="1:14" x14ac:dyDescent="0.45">
      <c r="A53" s="1" t="s">
        <v>50</v>
      </c>
      <c r="B53" s="1"/>
      <c r="C53" s="2">
        <v>3.2877000000000001</v>
      </c>
      <c r="D53" s="2">
        <v>7.1334999999999997</v>
      </c>
      <c r="E53" s="2">
        <v>10.739000000000001</v>
      </c>
      <c r="F53" s="2">
        <v>9657.4531000000006</v>
      </c>
      <c r="G53" s="2">
        <v>42291.796900000001</v>
      </c>
      <c r="H53" s="2">
        <v>195627.875</v>
      </c>
      <c r="I53">
        <f t="shared" si="1"/>
        <v>2937.4496152325337</v>
      </c>
      <c r="J53">
        <f t="shared" si="2"/>
        <v>5928.6180556529062</v>
      </c>
      <c r="K53">
        <f t="shared" si="3"/>
        <v>18216.582083992922</v>
      </c>
      <c r="L53">
        <f t="shared" si="4"/>
        <v>2.3684438772329397E-2</v>
      </c>
      <c r="M53">
        <f t="shared" si="5"/>
        <v>3.1411913617864551E-2</v>
      </c>
      <c r="N53">
        <f t="shared" si="6"/>
        <v>3.9467242597605701E-2</v>
      </c>
    </row>
    <row r="54" spans="1:14" x14ac:dyDescent="0.45">
      <c r="A54" s="1" t="s">
        <v>51</v>
      </c>
      <c r="B54" s="1"/>
      <c r="C54" s="2">
        <v>11.3268</v>
      </c>
      <c r="D54" s="2">
        <v>25.758900000000001</v>
      </c>
      <c r="E54" s="2">
        <v>43.053100000000001</v>
      </c>
      <c r="F54" s="2">
        <v>73350.976599999995</v>
      </c>
      <c r="G54" s="2">
        <v>218982.54689999999</v>
      </c>
      <c r="H54" s="2">
        <v>481677.125</v>
      </c>
      <c r="I54">
        <f t="shared" si="1"/>
        <v>6475.87814740262</v>
      </c>
      <c r="J54">
        <f t="shared" si="2"/>
        <v>8501.2382865727959</v>
      </c>
      <c r="K54">
        <f t="shared" si="3"/>
        <v>11187.977753053787</v>
      </c>
      <c r="L54">
        <f t="shared" si="4"/>
        <v>9.1121859449423415E-3</v>
      </c>
      <c r="M54">
        <f t="shared" si="5"/>
        <v>9.3101155078625375E-3</v>
      </c>
      <c r="N54">
        <f t="shared" si="6"/>
        <v>9.5149110817061011E-3</v>
      </c>
    </row>
    <row r="55" spans="1:14" x14ac:dyDescent="0.45">
      <c r="A55" s="1" t="s">
        <v>52</v>
      </c>
      <c r="B55" s="1"/>
      <c r="C55" s="2">
        <v>4.5126999999999997</v>
      </c>
      <c r="D55" s="2">
        <v>10.2309</v>
      </c>
      <c r="E55" s="2">
        <v>17.373699999999999</v>
      </c>
      <c r="F55" s="2">
        <v>21357.5723</v>
      </c>
      <c r="G55" s="2">
        <v>83356.695300000007</v>
      </c>
      <c r="H55" s="2">
        <v>194146.82810000001</v>
      </c>
      <c r="I55">
        <f t="shared" si="1"/>
        <v>4732.7702484100428</v>
      </c>
      <c r="J55">
        <f t="shared" si="2"/>
        <v>8147.5427674984612</v>
      </c>
      <c r="K55">
        <f t="shared" si="3"/>
        <v>11174.754260750446</v>
      </c>
      <c r="L55">
        <f t="shared" si="4"/>
        <v>1.8271778809002104E-2</v>
      </c>
      <c r="M55">
        <f t="shared" si="5"/>
        <v>1.4668343694687724E-2</v>
      </c>
      <c r="N55">
        <f t="shared" si="6"/>
        <v>1.0954070552793294E-2</v>
      </c>
    </row>
    <row r="56" spans="1:14" x14ac:dyDescent="0.45">
      <c r="A56" s="1" t="s">
        <v>53</v>
      </c>
      <c r="B56" s="1"/>
      <c r="C56" s="2">
        <v>27.598099999999999</v>
      </c>
      <c r="D56" s="2">
        <v>56.134500000000003</v>
      </c>
      <c r="E56" s="2">
        <v>100.38809999999999</v>
      </c>
      <c r="F56" s="2">
        <v>51796.25</v>
      </c>
      <c r="G56" s="2">
        <v>355930.5</v>
      </c>
      <c r="H56" s="2">
        <v>1287589</v>
      </c>
      <c r="I56">
        <f t="shared" si="1"/>
        <v>1876.8049249767196</v>
      </c>
      <c r="J56">
        <f t="shared" si="2"/>
        <v>6340.6728482484032</v>
      </c>
      <c r="K56">
        <f t="shared" si="3"/>
        <v>12826.111859871839</v>
      </c>
      <c r="L56">
        <f t="shared" si="4"/>
        <v>4.1415107867864398E-2</v>
      </c>
      <c r="M56">
        <f t="shared" si="5"/>
        <v>3.3111150491538011E-2</v>
      </c>
      <c r="N56">
        <f t="shared" si="6"/>
        <v>2.459052102965642E-2</v>
      </c>
    </row>
    <row r="57" spans="1:14" x14ac:dyDescent="0.45">
      <c r="A57" s="1" t="s">
        <v>54</v>
      </c>
      <c r="B57" s="1"/>
      <c r="C57" s="2">
        <v>30.6478</v>
      </c>
      <c r="D57" s="2">
        <v>39.202500000000001</v>
      </c>
      <c r="E57" s="2">
        <v>46.736800000000002</v>
      </c>
      <c r="F57" s="2">
        <v>263005.71879999997</v>
      </c>
      <c r="G57" s="2">
        <v>1055523.5</v>
      </c>
      <c r="H57" s="2">
        <v>1896315.375</v>
      </c>
      <c r="I57">
        <f t="shared" si="1"/>
        <v>8581.5529597556742</v>
      </c>
      <c r="J57">
        <f t="shared" si="2"/>
        <v>26924.902748549201</v>
      </c>
      <c r="K57">
        <f t="shared" si="3"/>
        <v>40574.35200955136</v>
      </c>
      <c r="L57">
        <f t="shared" si="4"/>
        <v>3.8850233847763427E-2</v>
      </c>
      <c r="M57">
        <f t="shared" si="5"/>
        <v>2.6680588667251204E-2</v>
      </c>
      <c r="N57">
        <f t="shared" si="6"/>
        <v>1.4241300638719867E-2</v>
      </c>
    </row>
    <row r="58" spans="1:14" x14ac:dyDescent="0.45">
      <c r="A58" s="1" t="s">
        <v>55</v>
      </c>
      <c r="B58" s="1"/>
      <c r="C58" s="2"/>
      <c r="D58" s="2">
        <v>1.5651999999999999</v>
      </c>
      <c r="E58" s="2">
        <v>1.3255999999999999</v>
      </c>
      <c r="F58" s="2"/>
      <c r="G58" s="2">
        <v>23929.800800000001</v>
      </c>
      <c r="H58" s="2">
        <v>44788.539100000002</v>
      </c>
      <c r="I58" t="e">
        <f t="shared" si="1"/>
        <v>#DIV/0!</v>
      </c>
      <c r="J58">
        <f t="shared" si="2"/>
        <v>15288.65371837465</v>
      </c>
      <c r="K58">
        <f t="shared" si="3"/>
        <v>33787.371077248041</v>
      </c>
      <c r="L58" t="e">
        <f t="shared" si="4"/>
        <v>#DIV/0!</v>
      </c>
      <c r="M58" t="e">
        <f t="shared" si="5"/>
        <v>#DIV/0!</v>
      </c>
      <c r="N58">
        <f t="shared" si="6"/>
        <v>2.7721282676503201E-2</v>
      </c>
    </row>
    <row r="59" spans="1:14" x14ac:dyDescent="0.45">
      <c r="A59" s="1" t="s">
        <v>56</v>
      </c>
      <c r="B59" s="1"/>
      <c r="C59" s="2">
        <v>23.3047</v>
      </c>
      <c r="D59" s="2">
        <v>47.887900000000002</v>
      </c>
      <c r="E59" s="2">
        <v>112.0787</v>
      </c>
      <c r="F59" s="2">
        <v>15564.5967</v>
      </c>
      <c r="G59" s="2">
        <v>36734.378900000003</v>
      </c>
      <c r="H59" s="2">
        <v>249437.2188</v>
      </c>
      <c r="I59">
        <f t="shared" si="1"/>
        <v>667.87372075160806</v>
      </c>
      <c r="J59">
        <f t="shared" si="2"/>
        <v>767.09103761075346</v>
      </c>
      <c r="K59">
        <f t="shared" si="3"/>
        <v>2225.5541757711321</v>
      </c>
      <c r="L59">
        <f t="shared" si="4"/>
        <v>4.6275532921817852E-3</v>
      </c>
      <c r="M59">
        <f t="shared" si="5"/>
        <v>2.0610576710066164E-2</v>
      </c>
      <c r="N59">
        <f t="shared" si="6"/>
        <v>3.741237156253252E-2</v>
      </c>
    </row>
    <row r="60" spans="1:14" x14ac:dyDescent="0.45">
      <c r="A60" s="1" t="s">
        <v>57</v>
      </c>
      <c r="B60" s="1"/>
      <c r="C60" s="2">
        <v>4.4353999999999996</v>
      </c>
      <c r="D60" s="2">
        <v>4.9962</v>
      </c>
      <c r="E60" s="2">
        <v>5.5321999999999996</v>
      </c>
      <c r="F60" s="2">
        <v>47812.882799999999</v>
      </c>
      <c r="G60" s="2">
        <v>151298.9375</v>
      </c>
      <c r="H60" s="2">
        <v>248022.42189999999</v>
      </c>
      <c r="I60">
        <f t="shared" si="1"/>
        <v>10779.835595436714</v>
      </c>
      <c r="J60">
        <f t="shared" si="2"/>
        <v>30282.802429846684</v>
      </c>
      <c r="K60">
        <f t="shared" si="3"/>
        <v>44832.511821698419</v>
      </c>
      <c r="L60">
        <f t="shared" si="4"/>
        <v>3.5029665554171086E-2</v>
      </c>
      <c r="M60">
        <f t="shared" si="5"/>
        <v>2.4451027273755033E-2</v>
      </c>
      <c r="N60">
        <f t="shared" si="6"/>
        <v>1.3621371841408658E-2</v>
      </c>
    </row>
    <row r="61" spans="1:14" x14ac:dyDescent="0.45">
      <c r="A61" s="1" t="s">
        <v>58</v>
      </c>
      <c r="B61" s="1"/>
      <c r="C61" s="2">
        <v>0.39300000000000002</v>
      </c>
      <c r="D61" s="2">
        <v>0.72860000000000003</v>
      </c>
      <c r="E61" s="2">
        <v>0.89</v>
      </c>
      <c r="F61" s="2">
        <v>1791.4793999999999</v>
      </c>
      <c r="G61" s="2">
        <v>6269.7275</v>
      </c>
      <c r="H61" s="2">
        <v>12043.993200000001</v>
      </c>
      <c r="I61">
        <f t="shared" si="1"/>
        <v>4558.4717557251906</v>
      </c>
      <c r="J61">
        <f t="shared" si="2"/>
        <v>8605.1708756519347</v>
      </c>
      <c r="K61">
        <f t="shared" si="3"/>
        <v>13532.576629213483</v>
      </c>
      <c r="L61">
        <f t="shared" si="4"/>
        <v>2.1405066298717967E-2</v>
      </c>
      <c r="M61">
        <f t="shared" si="5"/>
        <v>1.8613698424823744E-2</v>
      </c>
      <c r="N61">
        <f t="shared" si="6"/>
        <v>1.5734103791369192E-2</v>
      </c>
    </row>
    <row r="62" spans="1:14" x14ac:dyDescent="0.45">
      <c r="A62" s="1" t="s">
        <v>59</v>
      </c>
      <c r="B62" s="1"/>
      <c r="C62" s="2">
        <v>46.619300000000003</v>
      </c>
      <c r="D62" s="2">
        <v>58.235700000000001</v>
      </c>
      <c r="E62" s="2">
        <v>67.351200000000006</v>
      </c>
      <c r="F62" s="2">
        <v>592031.3125</v>
      </c>
      <c r="G62" s="2">
        <v>1889867.125</v>
      </c>
      <c r="H62" s="2">
        <v>2965338.5</v>
      </c>
      <c r="I62">
        <f t="shared" si="1"/>
        <v>12699.275032014637</v>
      </c>
      <c r="J62">
        <f t="shared" si="2"/>
        <v>32452.037581758268</v>
      </c>
      <c r="K62">
        <f t="shared" si="3"/>
        <v>44027.998016367928</v>
      </c>
      <c r="L62">
        <f t="shared" si="4"/>
        <v>3.1768112026242745E-2</v>
      </c>
      <c r="M62">
        <f t="shared" si="5"/>
        <v>2.1296150776928702E-2</v>
      </c>
      <c r="N62">
        <f t="shared" si="6"/>
        <v>1.0574920533562793E-2</v>
      </c>
    </row>
    <row r="63" spans="1:14" x14ac:dyDescent="0.45">
      <c r="A63" s="1" t="s">
        <v>60</v>
      </c>
      <c r="B63" s="1"/>
      <c r="C63" s="2">
        <v>0.51080000000000003</v>
      </c>
      <c r="D63" s="2">
        <v>0.94950000000000001</v>
      </c>
      <c r="E63" s="2">
        <v>2.1726000000000001</v>
      </c>
      <c r="F63" s="2">
        <v>2941.0527000000002</v>
      </c>
      <c r="G63" s="2">
        <v>17790.101600000002</v>
      </c>
      <c r="H63" s="2">
        <v>32012.293000000001</v>
      </c>
      <c r="I63">
        <f t="shared" si="1"/>
        <v>5757.7382537196554</v>
      </c>
      <c r="J63">
        <f t="shared" si="2"/>
        <v>18736.283938915221</v>
      </c>
      <c r="K63">
        <f t="shared" si="3"/>
        <v>14734.554450888336</v>
      </c>
      <c r="L63">
        <f t="shared" si="4"/>
        <v>4.011426183963418E-2</v>
      </c>
      <c r="M63">
        <f t="shared" si="5"/>
        <v>1.6053781312329596E-2</v>
      </c>
      <c r="N63">
        <f t="shared" si="6"/>
        <v>-8.2508281163263808E-3</v>
      </c>
    </row>
    <row r="64" spans="1:14" x14ac:dyDescent="0.45">
      <c r="A64" s="1" t="s">
        <v>61</v>
      </c>
      <c r="B64" s="1"/>
      <c r="C64" s="2">
        <v>52.316899999999997</v>
      </c>
      <c r="D64" s="2">
        <v>57.134399999999999</v>
      </c>
      <c r="E64" s="2">
        <v>67.530199999999994</v>
      </c>
      <c r="F64" s="2">
        <v>782240.3125</v>
      </c>
      <c r="G64" s="2">
        <v>1698124.875</v>
      </c>
      <c r="H64" s="2">
        <v>3016695.25</v>
      </c>
      <c r="I64">
        <f t="shared" si="1"/>
        <v>14951.962224443727</v>
      </c>
      <c r="J64">
        <f t="shared" si="2"/>
        <v>29721.58410694783</v>
      </c>
      <c r="K64">
        <f t="shared" si="3"/>
        <v>44671.794989500995</v>
      </c>
      <c r="L64">
        <f t="shared" si="4"/>
        <v>2.3165274453471607E-2</v>
      </c>
      <c r="M64">
        <f t="shared" si="5"/>
        <v>1.8723979478376007E-2</v>
      </c>
      <c r="N64">
        <f t="shared" si="6"/>
        <v>1.4149822522454336E-2</v>
      </c>
    </row>
    <row r="65" spans="1:14" x14ac:dyDescent="0.45">
      <c r="A65" s="1" t="s">
        <v>62</v>
      </c>
      <c r="B65" s="1"/>
      <c r="C65" s="2"/>
      <c r="D65" s="2">
        <v>5.4104000000000001</v>
      </c>
      <c r="E65" s="2">
        <v>3.9967999999999999</v>
      </c>
      <c r="F65" s="2"/>
      <c r="G65" s="2">
        <v>60484.335899999998</v>
      </c>
      <c r="H65" s="2">
        <v>63508.824200000003</v>
      </c>
      <c r="I65" t="e">
        <f t="shared" si="1"/>
        <v>#DIV/0!</v>
      </c>
      <c r="J65">
        <f t="shared" si="2"/>
        <v>11179.272493715805</v>
      </c>
      <c r="K65">
        <f t="shared" si="3"/>
        <v>15889.917984387512</v>
      </c>
      <c r="L65" t="e">
        <f t="shared" si="4"/>
        <v>#DIV/0!</v>
      </c>
      <c r="M65" t="e">
        <f t="shared" si="5"/>
        <v>#DIV/0!</v>
      </c>
      <c r="N65">
        <f t="shared" si="6"/>
        <v>1.2198750856823093E-2</v>
      </c>
    </row>
    <row r="66" spans="1:14" x14ac:dyDescent="0.45">
      <c r="A66" s="1" t="s">
        <v>63</v>
      </c>
      <c r="B66" s="1"/>
      <c r="C66" s="2">
        <v>6.9160000000000004</v>
      </c>
      <c r="D66" s="2">
        <v>14.773300000000001</v>
      </c>
      <c r="E66" s="2">
        <v>30.417899999999999</v>
      </c>
      <c r="F66" s="2">
        <v>19751.916000000001</v>
      </c>
      <c r="G66" s="2">
        <v>35390.527300000002</v>
      </c>
      <c r="H66" s="2">
        <v>167411.9063</v>
      </c>
      <c r="I66">
        <f t="shared" si="1"/>
        <v>2855.973973395026</v>
      </c>
      <c r="J66">
        <f t="shared" si="2"/>
        <v>2395.5735888393251</v>
      </c>
      <c r="K66">
        <f t="shared" si="3"/>
        <v>5503.7299188964398</v>
      </c>
      <c r="L66">
        <f t="shared" si="4"/>
        <v>-5.8425400908679315E-3</v>
      </c>
      <c r="M66">
        <f t="shared" si="5"/>
        <v>1.1180910399754884E-2</v>
      </c>
      <c r="N66">
        <f t="shared" si="6"/>
        <v>2.9098188467528097E-2</v>
      </c>
    </row>
    <row r="67" spans="1:14" x14ac:dyDescent="0.45">
      <c r="A67" s="1" t="s">
        <v>64</v>
      </c>
      <c r="B67" s="1"/>
      <c r="C67" s="2">
        <v>3.4506999999999999</v>
      </c>
      <c r="D67" s="2">
        <v>6.3522999999999996</v>
      </c>
      <c r="E67" s="2">
        <v>12.7712</v>
      </c>
      <c r="F67" s="2">
        <v>5406.5165999999999</v>
      </c>
      <c r="G67" s="2">
        <v>9491.0224999999991</v>
      </c>
      <c r="H67" s="2">
        <v>32796.199200000003</v>
      </c>
      <c r="I67">
        <f t="shared" si="1"/>
        <v>1566.7883617816676</v>
      </c>
      <c r="J67">
        <f t="shared" si="2"/>
        <v>1494.1080396077011</v>
      </c>
      <c r="K67">
        <f t="shared" si="3"/>
        <v>2567.981019794538</v>
      </c>
      <c r="L67">
        <f t="shared" si="4"/>
        <v>-1.5820304351154002E-3</v>
      </c>
      <c r="M67">
        <f t="shared" si="5"/>
        <v>8.4096061055924931E-3</v>
      </c>
      <c r="N67">
        <f t="shared" si="6"/>
        <v>1.8851016296757006E-2</v>
      </c>
    </row>
    <row r="68" spans="1:14" x14ac:dyDescent="0.45">
      <c r="A68" s="1" t="s">
        <v>65</v>
      </c>
      <c r="B68" s="1"/>
      <c r="C68" s="2">
        <v>0.33729999999999999</v>
      </c>
      <c r="D68" s="2">
        <v>0.9556</v>
      </c>
      <c r="E68" s="2">
        <v>2.3477000000000001</v>
      </c>
      <c r="F68" s="2">
        <v>884.64030000000002</v>
      </c>
      <c r="G68" s="2">
        <v>2288.2321999999999</v>
      </c>
      <c r="H68" s="2">
        <v>5542.0385999999999</v>
      </c>
      <c r="I68">
        <f t="shared" ref="I68:I131" si="7">F68/C68</f>
        <v>2622.7106433442041</v>
      </c>
      <c r="J68">
        <f t="shared" ref="J68:J131" si="8">G68/D68</f>
        <v>2394.5502302218501</v>
      </c>
      <c r="K68">
        <f t="shared" ref="K68:K131" si="9">H68/E68</f>
        <v>2360.6246965114792</v>
      </c>
      <c r="L68">
        <f t="shared" ref="L68:L131" si="10">(J68/I68)^(1/30)-1</f>
        <v>-3.0291681749194943E-3</v>
      </c>
      <c r="M68">
        <f t="shared" ref="M68:M131" si="11">(K68/I68)^(1/59)-1</f>
        <v>-1.782851095950666E-3</v>
      </c>
      <c r="N68">
        <f t="shared" ref="N68:N131" si="12">(K68/J68)^(1/29)-1</f>
        <v>-4.9191800281389586E-4</v>
      </c>
    </row>
    <row r="69" spans="1:14" x14ac:dyDescent="0.45">
      <c r="A69" s="1" t="s">
        <v>66</v>
      </c>
      <c r="B69" s="1"/>
      <c r="C69" s="2">
        <v>0.70109999999999995</v>
      </c>
      <c r="D69" s="2">
        <v>0.97529999999999994</v>
      </c>
      <c r="E69" s="2">
        <v>1.9209000000000001</v>
      </c>
      <c r="F69" s="2">
        <v>1387.7094</v>
      </c>
      <c r="G69" s="2">
        <v>1717.8134</v>
      </c>
      <c r="H69" s="2">
        <v>3765.9650999999999</v>
      </c>
      <c r="I69">
        <f t="shared" si="7"/>
        <v>1979.3316217372701</v>
      </c>
      <c r="J69">
        <f t="shared" si="8"/>
        <v>1761.3179534502206</v>
      </c>
      <c r="K69">
        <f t="shared" si="9"/>
        <v>1960.5211619553334</v>
      </c>
      <c r="L69">
        <f t="shared" si="10"/>
        <v>-3.8823393892130076E-3</v>
      </c>
      <c r="M69">
        <f t="shared" si="11"/>
        <v>-1.6183243058542907E-4</v>
      </c>
      <c r="N69">
        <f t="shared" si="12"/>
        <v>3.701591646725122E-3</v>
      </c>
    </row>
    <row r="70" spans="1:14" x14ac:dyDescent="0.45">
      <c r="A70" s="1" t="s">
        <v>67</v>
      </c>
      <c r="B70" s="1"/>
      <c r="C70" s="2">
        <v>0.27410000000000001</v>
      </c>
      <c r="D70" s="2">
        <v>0.41920000000000002</v>
      </c>
      <c r="E70" s="2">
        <v>1.3560000000000001</v>
      </c>
      <c r="F70" s="2">
        <v>650.82640000000004</v>
      </c>
      <c r="G70" s="2">
        <v>1384.7144000000001</v>
      </c>
      <c r="H70" s="2">
        <v>28456.3164</v>
      </c>
      <c r="I70">
        <f t="shared" si="7"/>
        <v>2374.4122582998907</v>
      </c>
      <c r="J70">
        <f t="shared" si="8"/>
        <v>3303.2309160305344</v>
      </c>
      <c r="K70">
        <f t="shared" si="9"/>
        <v>20985.484070796458</v>
      </c>
      <c r="L70">
        <f t="shared" si="10"/>
        <v>1.1065815449895489E-2</v>
      </c>
      <c r="M70">
        <f t="shared" si="11"/>
        <v>3.7624096167897081E-2</v>
      </c>
      <c r="N70">
        <f t="shared" si="12"/>
        <v>6.5832521122427767E-2</v>
      </c>
    </row>
    <row r="71" spans="1:14" x14ac:dyDescent="0.45">
      <c r="A71" s="1" t="s">
        <v>68</v>
      </c>
      <c r="B71" s="1"/>
      <c r="C71" s="2">
        <v>8.2050000000000001</v>
      </c>
      <c r="D71" s="2">
        <v>10.226000000000001</v>
      </c>
      <c r="E71" s="2">
        <v>10.4735</v>
      </c>
      <c r="F71" s="2">
        <v>59409.765599999999</v>
      </c>
      <c r="G71" s="2">
        <v>225148.1875</v>
      </c>
      <c r="H71" s="2">
        <v>289493.21879999997</v>
      </c>
      <c r="I71">
        <f t="shared" si="7"/>
        <v>7240.6783180987204</v>
      </c>
      <c r="J71">
        <f t="shared" si="8"/>
        <v>22017.229366321139</v>
      </c>
      <c r="K71">
        <f t="shared" si="9"/>
        <v>27640.542206521219</v>
      </c>
      <c r="L71">
        <f t="shared" si="10"/>
        <v>3.7766021910792036E-2</v>
      </c>
      <c r="M71">
        <f t="shared" si="11"/>
        <v>2.2964264839418824E-2</v>
      </c>
      <c r="N71">
        <f t="shared" si="12"/>
        <v>7.8742301542220616E-3</v>
      </c>
    </row>
    <row r="72" spans="1:14" x14ac:dyDescent="0.45">
      <c r="A72" s="1" t="s">
        <v>69</v>
      </c>
      <c r="B72" s="1"/>
      <c r="C72" s="2"/>
      <c r="D72" s="2">
        <v>9.6299999999999997E-2</v>
      </c>
      <c r="E72" s="2">
        <v>0.112</v>
      </c>
      <c r="F72" s="2"/>
      <c r="G72" s="2">
        <v>728.60739999999998</v>
      </c>
      <c r="H72" s="2">
        <v>1668.7560000000001</v>
      </c>
      <c r="I72" t="e">
        <f t="shared" si="7"/>
        <v>#DIV/0!</v>
      </c>
      <c r="J72">
        <f t="shared" si="8"/>
        <v>7566.0166147455866</v>
      </c>
      <c r="K72">
        <f t="shared" si="9"/>
        <v>14899.607142857143</v>
      </c>
      <c r="L72" t="e">
        <f t="shared" si="10"/>
        <v>#DIV/0!</v>
      </c>
      <c r="M72" t="e">
        <f t="shared" si="11"/>
        <v>#DIV/0!</v>
      </c>
      <c r="N72">
        <f t="shared" si="12"/>
        <v>2.3643034120477635E-2</v>
      </c>
    </row>
    <row r="73" spans="1:14" x14ac:dyDescent="0.45">
      <c r="A73" s="1" t="s">
        <v>70</v>
      </c>
      <c r="B73" s="1"/>
      <c r="C73" s="2">
        <v>4.3781999999999996</v>
      </c>
      <c r="D73" s="2">
        <v>9.2637999999999998</v>
      </c>
      <c r="E73" s="2">
        <v>17.581499999999998</v>
      </c>
      <c r="F73" s="2">
        <v>14783.9092</v>
      </c>
      <c r="G73" s="2">
        <v>47761.656300000002</v>
      </c>
      <c r="H73" s="2">
        <v>136121.1875</v>
      </c>
      <c r="I73">
        <f t="shared" si="7"/>
        <v>3376.7094239641865</v>
      </c>
      <c r="J73">
        <f t="shared" si="8"/>
        <v>5155.7305101578186</v>
      </c>
      <c r="K73">
        <f t="shared" si="9"/>
        <v>7742.2965901657999</v>
      </c>
      <c r="L73">
        <f t="shared" si="10"/>
        <v>1.4206876063629137E-2</v>
      </c>
      <c r="M73">
        <f t="shared" si="11"/>
        <v>1.4163718593353192E-2</v>
      </c>
      <c r="N73">
        <f t="shared" si="12"/>
        <v>1.4119074867004588E-2</v>
      </c>
    </row>
    <row r="74" spans="1:14" x14ac:dyDescent="0.45">
      <c r="A74" s="1" t="s">
        <v>71</v>
      </c>
      <c r="B74" s="1"/>
      <c r="C74" s="2"/>
      <c r="D74" s="2">
        <v>0.74329999999999996</v>
      </c>
      <c r="E74" s="2">
        <v>0.78280000000000005</v>
      </c>
      <c r="F74" s="2"/>
      <c r="G74" s="2">
        <v>2214.6421</v>
      </c>
      <c r="H74" s="2">
        <v>10396.043</v>
      </c>
      <c r="I74" t="e">
        <f t="shared" si="7"/>
        <v>#DIV/0!</v>
      </c>
      <c r="J74">
        <f t="shared" si="8"/>
        <v>2979.472756625858</v>
      </c>
      <c r="K74">
        <f t="shared" si="9"/>
        <v>13280.586356668369</v>
      </c>
      <c r="L74" t="e">
        <f t="shared" si="10"/>
        <v>#DIV/0!</v>
      </c>
      <c r="M74" t="e">
        <f t="shared" si="11"/>
        <v>#DIV/0!</v>
      </c>
      <c r="N74">
        <f t="shared" si="12"/>
        <v>5.2887559310018872E-2</v>
      </c>
    </row>
    <row r="75" spans="1:14" x14ac:dyDescent="0.45">
      <c r="A75" s="1" t="s">
        <v>72</v>
      </c>
      <c r="B75" s="1"/>
      <c r="C75" s="2">
        <v>2.9897999999999998</v>
      </c>
      <c r="D75" s="2">
        <v>5.7279</v>
      </c>
      <c r="E75" s="2">
        <v>7.4362000000000004</v>
      </c>
      <c r="F75" s="2">
        <v>13218.29</v>
      </c>
      <c r="G75" s="2">
        <v>135461.73439999999</v>
      </c>
      <c r="H75" s="2">
        <v>370482.5625</v>
      </c>
      <c r="I75">
        <f t="shared" si="7"/>
        <v>4421.1285035788351</v>
      </c>
      <c r="J75">
        <f t="shared" si="8"/>
        <v>23649.458684683737</v>
      </c>
      <c r="K75">
        <f t="shared" si="9"/>
        <v>49821.489806621656</v>
      </c>
      <c r="L75">
        <f t="shared" si="10"/>
        <v>5.7489999159697991E-2</v>
      </c>
      <c r="M75">
        <f t="shared" si="11"/>
        <v>4.1905990684317329E-2</v>
      </c>
      <c r="N75">
        <f t="shared" si="12"/>
        <v>2.6026235204420933E-2</v>
      </c>
    </row>
    <row r="76" spans="1:14" x14ac:dyDescent="0.45">
      <c r="A76" s="1" t="s">
        <v>73</v>
      </c>
      <c r="B76" s="1"/>
      <c r="C76" s="2">
        <v>1.9205000000000001</v>
      </c>
      <c r="D76" s="2">
        <v>4.9553000000000003</v>
      </c>
      <c r="E76" s="2">
        <v>9.7461000000000002</v>
      </c>
      <c r="F76" s="2">
        <v>5937.8179</v>
      </c>
      <c r="G76" s="2">
        <v>18794.4902</v>
      </c>
      <c r="H76" s="2">
        <v>53667.335899999998</v>
      </c>
      <c r="I76">
        <f t="shared" si="7"/>
        <v>3091.8083311637592</v>
      </c>
      <c r="J76">
        <f t="shared" si="8"/>
        <v>3792.805723165096</v>
      </c>
      <c r="K76">
        <f t="shared" si="9"/>
        <v>5506.5447614943414</v>
      </c>
      <c r="L76">
        <f t="shared" si="10"/>
        <v>6.8349155237246162E-3</v>
      </c>
      <c r="M76">
        <f t="shared" si="11"/>
        <v>9.8307395696015654E-3</v>
      </c>
      <c r="N76">
        <f t="shared" si="12"/>
        <v>1.2939248618990762E-2</v>
      </c>
    </row>
    <row r="77" spans="1:14" x14ac:dyDescent="0.45">
      <c r="A77" s="1" t="s">
        <v>74</v>
      </c>
      <c r="B77" s="1"/>
      <c r="C77" s="2"/>
      <c r="D77" s="2">
        <v>4.7763999999999998</v>
      </c>
      <c r="E77" s="2">
        <v>4.1303000000000001</v>
      </c>
      <c r="F77" s="2"/>
      <c r="G77" s="2">
        <v>91513.226599999995</v>
      </c>
      <c r="H77" s="2">
        <v>112132.875</v>
      </c>
      <c r="I77" t="e">
        <f t="shared" si="7"/>
        <v>#DIV/0!</v>
      </c>
      <c r="J77">
        <f t="shared" si="8"/>
        <v>19159.456201323173</v>
      </c>
      <c r="K77">
        <f t="shared" si="9"/>
        <v>27148.845120209186</v>
      </c>
      <c r="L77" t="e">
        <f t="shared" si="10"/>
        <v>#DIV/0!</v>
      </c>
      <c r="M77" t="e">
        <f t="shared" si="11"/>
        <v>#DIV/0!</v>
      </c>
      <c r="N77">
        <f t="shared" si="12"/>
        <v>1.2091068854898301E-2</v>
      </c>
    </row>
    <row r="78" spans="1:14" x14ac:dyDescent="0.45">
      <c r="A78" s="1" t="s">
        <v>75</v>
      </c>
      <c r="B78" s="1"/>
      <c r="C78" s="2">
        <v>3.8071000000000002</v>
      </c>
      <c r="D78" s="2">
        <v>7.0378999999999996</v>
      </c>
      <c r="E78" s="2">
        <v>11.2631</v>
      </c>
      <c r="F78" s="2">
        <v>9069.6494000000002</v>
      </c>
      <c r="G78" s="2">
        <v>14882.7588</v>
      </c>
      <c r="H78" s="2">
        <v>18259.517599999999</v>
      </c>
      <c r="I78">
        <f t="shared" si="7"/>
        <v>2382.2987050510887</v>
      </c>
      <c r="J78">
        <f t="shared" si="8"/>
        <v>2114.6590318134672</v>
      </c>
      <c r="K78">
        <f t="shared" si="9"/>
        <v>1621.1804565350569</v>
      </c>
      <c r="L78">
        <f t="shared" si="10"/>
        <v>-3.9645297121936318E-3</v>
      </c>
      <c r="M78">
        <f t="shared" si="11"/>
        <v>-6.5026858281215238E-3</v>
      </c>
      <c r="N78">
        <f t="shared" si="12"/>
        <v>-9.1215584988587617E-3</v>
      </c>
    </row>
    <row r="79" spans="1:14" x14ac:dyDescent="0.45">
      <c r="A79" s="1" t="s">
        <v>76</v>
      </c>
      <c r="B79" s="1"/>
      <c r="C79" s="2"/>
      <c r="D79" s="2">
        <v>10.3771</v>
      </c>
      <c r="E79" s="2">
        <v>9.6846999999999994</v>
      </c>
      <c r="F79" s="2"/>
      <c r="G79" s="2">
        <v>175553.75</v>
      </c>
      <c r="H79" s="2">
        <v>288606.09379999997</v>
      </c>
      <c r="I79" t="e">
        <f t="shared" si="7"/>
        <v>#DIV/0!</v>
      </c>
      <c r="J79">
        <f t="shared" si="8"/>
        <v>16917.419124803655</v>
      </c>
      <c r="K79">
        <f t="shared" si="9"/>
        <v>29800.210001342322</v>
      </c>
      <c r="L79" t="e">
        <f t="shared" si="10"/>
        <v>#DIV/0!</v>
      </c>
      <c r="M79" t="e">
        <f t="shared" si="11"/>
        <v>#DIV/0!</v>
      </c>
      <c r="N79">
        <f t="shared" si="12"/>
        <v>1.9714982903586087E-2</v>
      </c>
    </row>
    <row r="80" spans="1:14" x14ac:dyDescent="0.45">
      <c r="A80" s="1" t="s">
        <v>77</v>
      </c>
      <c r="B80" s="1"/>
      <c r="C80" s="2">
        <v>94.472999999999999</v>
      </c>
      <c r="D80" s="2">
        <v>182.15119999999999</v>
      </c>
      <c r="E80" s="2">
        <v>270.62560000000002</v>
      </c>
      <c r="F80" s="2">
        <v>147538.92189999999</v>
      </c>
      <c r="G80" s="2">
        <v>774478.125</v>
      </c>
      <c r="H80" s="2">
        <v>3110469.5</v>
      </c>
      <c r="I80">
        <f t="shared" si="7"/>
        <v>1561.7046341282694</v>
      </c>
      <c r="J80">
        <f t="shared" si="8"/>
        <v>4251.842013667766</v>
      </c>
      <c r="K80">
        <f t="shared" si="9"/>
        <v>11493.626249696998</v>
      </c>
      <c r="L80">
        <f t="shared" si="10"/>
        <v>3.3949372551844048E-2</v>
      </c>
      <c r="M80">
        <f t="shared" si="11"/>
        <v>3.4409526055094508E-2</v>
      </c>
      <c r="N80">
        <f t="shared" si="12"/>
        <v>3.4885762424700761E-2</v>
      </c>
    </row>
    <row r="81" spans="1:14" x14ac:dyDescent="0.45">
      <c r="A81" s="1" t="s">
        <v>78</v>
      </c>
      <c r="B81" s="1"/>
      <c r="C81" s="2">
        <v>446.43950000000001</v>
      </c>
      <c r="D81" s="2">
        <v>873.27779999999996</v>
      </c>
      <c r="E81" s="2">
        <v>1366.4177999999999</v>
      </c>
      <c r="F81" s="2">
        <v>447577.28129999997</v>
      </c>
      <c r="G81" s="2">
        <v>1581110.375</v>
      </c>
      <c r="H81" s="2">
        <v>9163052</v>
      </c>
      <c r="I81">
        <f t="shared" si="7"/>
        <v>1002.5485677230621</v>
      </c>
      <c r="J81">
        <f t="shared" si="8"/>
        <v>1810.5468557657141</v>
      </c>
      <c r="K81">
        <f t="shared" si="9"/>
        <v>6705.8933219400396</v>
      </c>
      <c r="L81">
        <f t="shared" si="10"/>
        <v>1.9898167786692511E-2</v>
      </c>
      <c r="M81">
        <f t="shared" si="11"/>
        <v>3.2735256707036253E-2</v>
      </c>
      <c r="N81">
        <f t="shared" si="12"/>
        <v>4.6185057610368618E-2</v>
      </c>
    </row>
    <row r="82" spans="1:14" x14ac:dyDescent="0.45">
      <c r="A82" s="1" t="s">
        <v>79</v>
      </c>
      <c r="B82" s="1"/>
      <c r="C82" s="2">
        <v>2.7919999999999998</v>
      </c>
      <c r="D82" s="2">
        <v>3.5108999999999999</v>
      </c>
      <c r="E82" s="2">
        <v>4.8825000000000003</v>
      </c>
      <c r="F82" s="2">
        <v>29564.7363</v>
      </c>
      <c r="G82" s="2">
        <v>102740.9844</v>
      </c>
      <c r="H82" s="2">
        <v>472685.65629999997</v>
      </c>
      <c r="I82">
        <f t="shared" si="7"/>
        <v>10589.088932664758</v>
      </c>
      <c r="J82">
        <f t="shared" si="8"/>
        <v>29263.432282320773</v>
      </c>
      <c r="K82">
        <f t="shared" si="9"/>
        <v>96812.218392217095</v>
      </c>
      <c r="L82">
        <f t="shared" si="10"/>
        <v>3.4464414518552422E-2</v>
      </c>
      <c r="M82">
        <f t="shared" si="11"/>
        <v>3.8219899565889781E-2</v>
      </c>
      <c r="N82">
        <f t="shared" si="12"/>
        <v>4.2119231784815581E-2</v>
      </c>
    </row>
    <row r="83" spans="1:14" x14ac:dyDescent="0.45">
      <c r="A83" s="1" t="s">
        <v>80</v>
      </c>
      <c r="B83" s="1"/>
      <c r="C83" s="2">
        <v>21.293399999999998</v>
      </c>
      <c r="D83" s="2">
        <v>56.366199999999999</v>
      </c>
      <c r="E83" s="2">
        <v>82.913899999999998</v>
      </c>
      <c r="F83" s="2">
        <v>248714.875</v>
      </c>
      <c r="G83" s="2">
        <v>455057.375</v>
      </c>
      <c r="H83" s="2">
        <v>1001589.25</v>
      </c>
      <c r="I83">
        <f t="shared" si="7"/>
        <v>11680.373965641937</v>
      </c>
      <c r="J83">
        <f t="shared" si="8"/>
        <v>8073.2313868949832</v>
      </c>
      <c r="K83">
        <f t="shared" si="9"/>
        <v>12079.871408774645</v>
      </c>
      <c r="L83">
        <f t="shared" si="10"/>
        <v>-1.2236391409455205E-2</v>
      </c>
      <c r="M83">
        <f t="shared" si="11"/>
        <v>5.701718588777549E-4</v>
      </c>
      <c r="N83">
        <f t="shared" si="12"/>
        <v>1.3993093486140529E-2</v>
      </c>
    </row>
    <row r="84" spans="1:14" x14ac:dyDescent="0.45">
      <c r="A84" s="1" t="s">
        <v>81</v>
      </c>
      <c r="B84" s="1"/>
      <c r="C84" s="2"/>
      <c r="D84" s="2">
        <v>17.4191</v>
      </c>
      <c r="E84" s="2">
        <v>39.309800000000003</v>
      </c>
      <c r="F84" s="2"/>
      <c r="G84" s="2">
        <v>154415.57810000001</v>
      </c>
      <c r="H84" s="2">
        <v>455805</v>
      </c>
      <c r="I84" t="e">
        <f t="shared" si="7"/>
        <v>#DIV/0!</v>
      </c>
      <c r="J84">
        <f t="shared" si="8"/>
        <v>8864.7276897199063</v>
      </c>
      <c r="K84">
        <f t="shared" si="9"/>
        <v>11595.200179090201</v>
      </c>
      <c r="L84" t="e">
        <f t="shared" si="10"/>
        <v>#DIV/0!</v>
      </c>
      <c r="M84" t="e">
        <f t="shared" si="11"/>
        <v>#DIV/0!</v>
      </c>
      <c r="N84">
        <f t="shared" si="12"/>
        <v>9.3019976017765238E-3</v>
      </c>
    </row>
    <row r="85" spans="1:14" x14ac:dyDescent="0.45">
      <c r="A85" s="1" t="s">
        <v>82</v>
      </c>
      <c r="B85" s="1"/>
      <c r="C85" s="2">
        <v>0.17610000000000001</v>
      </c>
      <c r="D85" s="2">
        <v>0.255</v>
      </c>
      <c r="E85" s="2">
        <v>0.33900000000000002</v>
      </c>
      <c r="F85" s="2">
        <v>2009.0472</v>
      </c>
      <c r="G85" s="2">
        <v>7648.9849000000004</v>
      </c>
      <c r="H85" s="2">
        <v>17635.359400000001</v>
      </c>
      <c r="I85">
        <f t="shared" si="7"/>
        <v>11408.558773424191</v>
      </c>
      <c r="J85">
        <f t="shared" si="8"/>
        <v>29996.019215686276</v>
      </c>
      <c r="K85">
        <f t="shared" si="9"/>
        <v>52021.709144542772</v>
      </c>
      <c r="L85">
        <f t="shared" si="10"/>
        <v>3.2748155437599236E-2</v>
      </c>
      <c r="M85">
        <f t="shared" si="11"/>
        <v>2.6050435461316246E-2</v>
      </c>
      <c r="N85">
        <f t="shared" si="12"/>
        <v>1.9167465747758961E-2</v>
      </c>
    </row>
    <row r="86" spans="1:14" x14ac:dyDescent="0.45">
      <c r="A86" s="1" t="s">
        <v>83</v>
      </c>
      <c r="B86" s="1"/>
      <c r="C86" s="2">
        <v>2.0752999999999999</v>
      </c>
      <c r="D86" s="2">
        <v>4.4484000000000004</v>
      </c>
      <c r="E86" s="2">
        <v>8.5193999999999992</v>
      </c>
      <c r="F86" s="2">
        <v>19516.097699999998</v>
      </c>
      <c r="G86" s="2">
        <v>101372.5</v>
      </c>
      <c r="H86" s="2">
        <v>344039.4375</v>
      </c>
      <c r="I86">
        <f t="shared" si="7"/>
        <v>9403.9886763359518</v>
      </c>
      <c r="J86">
        <f t="shared" si="8"/>
        <v>22788.530707670172</v>
      </c>
      <c r="K86">
        <f t="shared" si="9"/>
        <v>40383.059546446937</v>
      </c>
      <c r="L86">
        <f t="shared" si="10"/>
        <v>2.9943673465516296E-2</v>
      </c>
      <c r="M86">
        <f t="shared" si="11"/>
        <v>2.5007163028968993E-2</v>
      </c>
      <c r="N86">
        <f t="shared" si="12"/>
        <v>1.9925325263491445E-2</v>
      </c>
    </row>
    <row r="87" spans="1:14" x14ac:dyDescent="0.45">
      <c r="A87" s="1" t="s">
        <v>84</v>
      </c>
      <c r="B87" s="1"/>
      <c r="C87" s="2">
        <v>50.064599999999999</v>
      </c>
      <c r="D87" s="2">
        <v>57.048200000000001</v>
      </c>
      <c r="E87" s="2">
        <v>60.5501</v>
      </c>
      <c r="F87" s="2">
        <v>586620.4375</v>
      </c>
      <c r="G87" s="2">
        <v>2011688.625</v>
      </c>
      <c r="H87" s="2">
        <v>2467813.5</v>
      </c>
      <c r="I87">
        <f t="shared" si="7"/>
        <v>11717.270037112052</v>
      </c>
      <c r="J87">
        <f t="shared" si="8"/>
        <v>35262.964037427999</v>
      </c>
      <c r="K87">
        <f t="shared" si="9"/>
        <v>40756.55531535043</v>
      </c>
      <c r="L87">
        <f t="shared" si="10"/>
        <v>3.7408365719781678E-2</v>
      </c>
      <c r="M87">
        <f t="shared" si="11"/>
        <v>2.1352791458488785E-2</v>
      </c>
      <c r="N87">
        <f t="shared" si="12"/>
        <v>5.0050164806267894E-3</v>
      </c>
    </row>
    <row r="88" spans="1:14" x14ac:dyDescent="0.45">
      <c r="A88" s="1" t="s">
        <v>85</v>
      </c>
      <c r="B88" s="1"/>
      <c r="C88" s="2">
        <v>1.5746</v>
      </c>
      <c r="D88" s="2">
        <v>2.4199000000000002</v>
      </c>
      <c r="E88" s="2">
        <v>2.9483000000000001</v>
      </c>
      <c r="F88" s="2">
        <v>10154.5195</v>
      </c>
      <c r="G88" s="2">
        <v>18625.8652</v>
      </c>
      <c r="H88" s="2">
        <v>24640.002</v>
      </c>
      <c r="I88">
        <f t="shared" si="7"/>
        <v>6448.9517972818494</v>
      </c>
      <c r="J88">
        <f t="shared" si="8"/>
        <v>7696.9565684532417</v>
      </c>
      <c r="K88">
        <f t="shared" si="9"/>
        <v>8357.3591561238682</v>
      </c>
      <c r="L88">
        <f t="shared" si="10"/>
        <v>5.9143341630714108E-3</v>
      </c>
      <c r="M88">
        <f t="shared" si="11"/>
        <v>4.4033082513326161E-3</v>
      </c>
      <c r="N88">
        <f t="shared" si="12"/>
        <v>2.8425664832623099E-3</v>
      </c>
    </row>
    <row r="89" spans="1:14" x14ac:dyDescent="0.45">
      <c r="A89" s="1" t="s">
        <v>86</v>
      </c>
      <c r="B89" s="1"/>
      <c r="C89" s="2">
        <v>0.9718</v>
      </c>
      <c r="D89" s="2">
        <v>3.5659000000000001</v>
      </c>
      <c r="E89" s="2">
        <v>10.101699999999999</v>
      </c>
      <c r="F89" s="2">
        <v>7354.4486999999999</v>
      </c>
      <c r="G89" s="2">
        <v>29890.9941</v>
      </c>
      <c r="H89" s="2">
        <v>107604.02340000001</v>
      </c>
      <c r="I89">
        <f t="shared" si="7"/>
        <v>7567.86242025108</v>
      </c>
      <c r="J89">
        <f t="shared" si="8"/>
        <v>8382.4543873916828</v>
      </c>
      <c r="K89">
        <f t="shared" si="9"/>
        <v>10652.070780165715</v>
      </c>
      <c r="L89">
        <f t="shared" si="10"/>
        <v>3.4134828918517268E-3</v>
      </c>
      <c r="M89">
        <f t="shared" si="11"/>
        <v>5.8107777958957829E-3</v>
      </c>
      <c r="N89">
        <f t="shared" si="12"/>
        <v>8.2967653328243074E-3</v>
      </c>
    </row>
    <row r="90" spans="1:14" x14ac:dyDescent="0.45">
      <c r="A90" s="1" t="s">
        <v>87</v>
      </c>
      <c r="B90" s="1"/>
      <c r="C90" s="2">
        <v>94.618499999999997</v>
      </c>
      <c r="D90" s="2">
        <v>124.5052</v>
      </c>
      <c r="E90" s="2">
        <v>126.8603</v>
      </c>
      <c r="F90" s="2">
        <v>609689.9375</v>
      </c>
      <c r="G90" s="2">
        <v>3861174.75</v>
      </c>
      <c r="H90" s="2">
        <v>5099254</v>
      </c>
      <c r="I90">
        <f t="shared" si="7"/>
        <v>6443.6652187468626</v>
      </c>
      <c r="J90">
        <f t="shared" si="8"/>
        <v>31012.156520370234</v>
      </c>
      <c r="K90">
        <f t="shared" si="9"/>
        <v>40195.821703085996</v>
      </c>
      <c r="L90">
        <f t="shared" si="10"/>
        <v>5.3771948149786253E-2</v>
      </c>
      <c r="M90">
        <f t="shared" si="11"/>
        <v>3.1514622624930988E-2</v>
      </c>
      <c r="N90">
        <f t="shared" si="12"/>
        <v>8.9843877344160106E-3</v>
      </c>
    </row>
    <row r="91" spans="1:14" x14ac:dyDescent="0.45">
      <c r="A91" s="1" t="s">
        <v>88</v>
      </c>
      <c r="B91" s="1"/>
      <c r="C91" s="2"/>
      <c r="D91" s="2">
        <v>16.383900000000001</v>
      </c>
      <c r="E91" s="2">
        <v>18.551400000000001</v>
      </c>
      <c r="F91" s="2"/>
      <c r="G91" s="2">
        <v>231616.95310000001</v>
      </c>
      <c r="H91" s="2">
        <v>512810.75</v>
      </c>
      <c r="I91" t="e">
        <f t="shared" si="7"/>
        <v>#DIV/0!</v>
      </c>
      <c r="J91">
        <f t="shared" si="8"/>
        <v>14136.863207172895</v>
      </c>
      <c r="K91">
        <f t="shared" si="9"/>
        <v>27642.698125208877</v>
      </c>
      <c r="L91" t="e">
        <f t="shared" si="10"/>
        <v>#DIV/0!</v>
      </c>
      <c r="M91" t="e">
        <f t="shared" si="11"/>
        <v>#DIV/0!</v>
      </c>
      <c r="N91">
        <f t="shared" si="12"/>
        <v>2.339272008531279E-2</v>
      </c>
    </row>
    <row r="92" spans="1:14" x14ac:dyDescent="0.45">
      <c r="A92" s="1" t="s">
        <v>89</v>
      </c>
      <c r="B92" s="1"/>
      <c r="C92" s="2">
        <v>8.1960999999999995</v>
      </c>
      <c r="D92" s="2">
        <v>23.724599999999999</v>
      </c>
      <c r="E92" s="2">
        <v>52.573999999999998</v>
      </c>
      <c r="F92" s="2">
        <v>21083.460899999998</v>
      </c>
      <c r="G92" s="2">
        <v>76082.515599999999</v>
      </c>
      <c r="H92" s="2">
        <v>227564.0625</v>
      </c>
      <c r="I92">
        <f t="shared" si="7"/>
        <v>2572.3772159929722</v>
      </c>
      <c r="J92">
        <f t="shared" si="8"/>
        <v>3206.9040405317687</v>
      </c>
      <c r="K92">
        <f t="shared" si="9"/>
        <v>4328.4525145509187</v>
      </c>
      <c r="L92">
        <f t="shared" si="10"/>
        <v>7.3762562098091955E-3</v>
      </c>
      <c r="M92">
        <f t="shared" si="11"/>
        <v>8.859004532981718E-3</v>
      </c>
      <c r="N92">
        <f t="shared" si="12"/>
        <v>1.0395178774420755E-2</v>
      </c>
    </row>
    <row r="93" spans="1:14" x14ac:dyDescent="0.45">
      <c r="A93" s="1" t="s">
        <v>90</v>
      </c>
      <c r="B93" s="1"/>
      <c r="C93" s="2"/>
      <c r="D93" s="2">
        <v>4.3728999999999996</v>
      </c>
      <c r="E93" s="2">
        <v>6.4158999999999997</v>
      </c>
      <c r="F93" s="2"/>
      <c r="G93" s="2">
        <v>27052.658200000002</v>
      </c>
      <c r="H93" s="2">
        <v>40511.765599999999</v>
      </c>
      <c r="I93" t="e">
        <f t="shared" si="7"/>
        <v>#DIV/0!</v>
      </c>
      <c r="J93">
        <f t="shared" si="8"/>
        <v>6186.4342198541026</v>
      </c>
      <c r="K93">
        <f t="shared" si="9"/>
        <v>6314.2763447061207</v>
      </c>
      <c r="L93" t="e">
        <f t="shared" si="10"/>
        <v>#DIV/0!</v>
      </c>
      <c r="M93" t="e">
        <f t="shared" si="11"/>
        <v>#DIV/0!</v>
      </c>
      <c r="N93">
        <f t="shared" si="12"/>
        <v>7.0556915534036868E-4</v>
      </c>
    </row>
    <row r="94" spans="1:14" x14ac:dyDescent="0.45">
      <c r="A94" s="1" t="s">
        <v>91</v>
      </c>
      <c r="B94" s="1"/>
      <c r="C94" s="2"/>
      <c r="D94" s="2">
        <v>8.9756</v>
      </c>
      <c r="E94" s="2">
        <v>16.486499999999999</v>
      </c>
      <c r="F94" s="2"/>
      <c r="G94" s="2">
        <v>9380.4794999999995</v>
      </c>
      <c r="H94" s="2">
        <v>72751.4375</v>
      </c>
      <c r="I94" t="e">
        <f t="shared" si="7"/>
        <v>#DIV/0!</v>
      </c>
      <c r="J94">
        <f t="shared" si="8"/>
        <v>1045.1089063683764</v>
      </c>
      <c r="K94">
        <f t="shared" si="9"/>
        <v>4412.788493615989</v>
      </c>
      <c r="L94" t="e">
        <f t="shared" si="10"/>
        <v>#DIV/0!</v>
      </c>
      <c r="M94" t="e">
        <f t="shared" si="11"/>
        <v>#DIV/0!</v>
      </c>
      <c r="N94">
        <f t="shared" si="12"/>
        <v>5.0922628936736603E-2</v>
      </c>
    </row>
    <row r="95" spans="1:14" x14ac:dyDescent="0.45">
      <c r="A95" s="1" t="s">
        <v>92</v>
      </c>
      <c r="B95" s="1"/>
      <c r="C95" s="2"/>
      <c r="D95" s="2">
        <v>4.0300000000000002E-2</v>
      </c>
      <c r="E95" s="2">
        <v>5.28E-2</v>
      </c>
      <c r="F95" s="2"/>
      <c r="G95" s="2">
        <v>514.19219999999996</v>
      </c>
      <c r="H95" s="2">
        <v>1172.8800000000001</v>
      </c>
      <c r="I95" t="e">
        <f t="shared" si="7"/>
        <v>#DIV/0!</v>
      </c>
      <c r="J95">
        <f t="shared" si="8"/>
        <v>12759.111662531015</v>
      </c>
      <c r="K95">
        <f t="shared" si="9"/>
        <v>22213.636363636368</v>
      </c>
      <c r="L95" t="e">
        <f t="shared" si="10"/>
        <v>#DIV/0!</v>
      </c>
      <c r="M95" t="e">
        <f t="shared" si="11"/>
        <v>#DIV/0!</v>
      </c>
      <c r="N95">
        <f t="shared" si="12"/>
        <v>1.9303279190872269E-2</v>
      </c>
    </row>
    <row r="96" spans="1:14" x14ac:dyDescent="0.45">
      <c r="A96" s="1" t="s">
        <v>93</v>
      </c>
      <c r="B96" s="1"/>
      <c r="C96" s="2">
        <v>24.749300000000002</v>
      </c>
      <c r="D96" s="2">
        <v>42.918399999999998</v>
      </c>
      <c r="E96" s="2">
        <v>51.225299999999997</v>
      </c>
      <c r="F96" s="2">
        <v>40605.222699999998</v>
      </c>
      <c r="G96" s="2">
        <v>538682.6875</v>
      </c>
      <c r="H96" s="2">
        <v>2193132.25</v>
      </c>
      <c r="I96">
        <f t="shared" si="7"/>
        <v>1640.6614611322339</v>
      </c>
      <c r="J96">
        <f t="shared" si="8"/>
        <v>12551.322684443037</v>
      </c>
      <c r="K96">
        <f t="shared" si="9"/>
        <v>42813.458388725885</v>
      </c>
      <c r="L96">
        <f t="shared" si="10"/>
        <v>7.0177174870688974E-2</v>
      </c>
      <c r="M96">
        <f t="shared" si="11"/>
        <v>5.6840661281907456E-2</v>
      </c>
      <c r="N96">
        <f t="shared" si="12"/>
        <v>4.3219137311521827E-2</v>
      </c>
    </row>
    <row r="97" spans="1:14" x14ac:dyDescent="0.45">
      <c r="A97" s="1" t="s">
        <v>94</v>
      </c>
      <c r="B97" s="1"/>
      <c r="C97" s="2"/>
      <c r="D97" s="2">
        <v>2.0952999999999999</v>
      </c>
      <c r="E97" s="2">
        <v>4.2070999999999996</v>
      </c>
      <c r="F97" s="2"/>
      <c r="G97" s="2">
        <v>69621.671900000001</v>
      </c>
      <c r="H97" s="2">
        <v>232072.4375</v>
      </c>
      <c r="I97" t="e">
        <f t="shared" si="7"/>
        <v>#DIV/0!</v>
      </c>
      <c r="J97">
        <f t="shared" si="8"/>
        <v>33227.543502123801</v>
      </c>
      <c r="K97">
        <f t="shared" si="9"/>
        <v>55162.09205866274</v>
      </c>
      <c r="L97" t="e">
        <f t="shared" si="10"/>
        <v>#DIV/0!</v>
      </c>
      <c r="M97" t="e">
        <f t="shared" si="11"/>
        <v>#DIV/0!</v>
      </c>
      <c r="N97">
        <f t="shared" si="12"/>
        <v>1.7632856001338126E-2</v>
      </c>
    </row>
    <row r="98" spans="1:14" x14ac:dyDescent="0.45">
      <c r="A98" s="1" t="s">
        <v>95</v>
      </c>
      <c r="B98" s="1"/>
      <c r="C98" s="2"/>
      <c r="D98" s="2">
        <v>4.2584999999999997</v>
      </c>
      <c r="E98" s="2">
        <v>7.1695000000000002</v>
      </c>
      <c r="F98" s="2"/>
      <c r="G98" s="2">
        <v>8288.3672000000006</v>
      </c>
      <c r="H98" s="2">
        <v>56177.800799999997</v>
      </c>
      <c r="I98" t="e">
        <f t="shared" si="7"/>
        <v>#DIV/0!</v>
      </c>
      <c r="J98">
        <f t="shared" si="8"/>
        <v>1946.3114242104029</v>
      </c>
      <c r="K98">
        <f t="shared" si="9"/>
        <v>7835.6650812469479</v>
      </c>
      <c r="L98" t="e">
        <f t="shared" si="10"/>
        <v>#DIV/0!</v>
      </c>
      <c r="M98" t="e">
        <f t="shared" si="11"/>
        <v>#DIV/0!</v>
      </c>
      <c r="N98">
        <f t="shared" si="12"/>
        <v>4.9197780505516153E-2</v>
      </c>
    </row>
    <row r="99" spans="1:14" x14ac:dyDescent="0.45">
      <c r="A99" s="1" t="s">
        <v>96</v>
      </c>
      <c r="B99" s="1"/>
      <c r="C99" s="2"/>
      <c r="D99" s="2">
        <v>2.8029999999999999</v>
      </c>
      <c r="E99" s="2">
        <v>6.8556999999999997</v>
      </c>
      <c r="F99" s="2"/>
      <c r="G99" s="2">
        <v>28926.093799999999</v>
      </c>
      <c r="H99" s="2">
        <v>100609.16409999999</v>
      </c>
      <c r="I99" t="e">
        <f t="shared" si="7"/>
        <v>#DIV/0!</v>
      </c>
      <c r="J99">
        <f t="shared" si="8"/>
        <v>10319.690973956474</v>
      </c>
      <c r="K99">
        <f t="shared" si="9"/>
        <v>14675.257683387546</v>
      </c>
      <c r="L99" t="e">
        <f t="shared" si="10"/>
        <v>#DIV/0!</v>
      </c>
      <c r="M99" t="e">
        <f t="shared" si="11"/>
        <v>#DIV/0!</v>
      </c>
      <c r="N99">
        <f t="shared" si="12"/>
        <v>1.2215703027744995E-2</v>
      </c>
    </row>
    <row r="100" spans="1:14" x14ac:dyDescent="0.45">
      <c r="A100" s="1" t="s">
        <v>97</v>
      </c>
      <c r="B100" s="1"/>
      <c r="C100" s="2"/>
      <c r="D100" s="2">
        <v>2.0758999999999999</v>
      </c>
      <c r="E100" s="2">
        <v>4.9374000000000002</v>
      </c>
      <c r="F100" s="2"/>
      <c r="G100" s="2">
        <v>2115.1635999999999</v>
      </c>
      <c r="H100" s="2">
        <v>6406.8441999999995</v>
      </c>
      <c r="I100" t="e">
        <f t="shared" si="7"/>
        <v>#DIV/0!</v>
      </c>
      <c r="J100">
        <f t="shared" si="8"/>
        <v>1018.9140131990944</v>
      </c>
      <c r="K100">
        <f t="shared" si="9"/>
        <v>1297.6149795438894</v>
      </c>
      <c r="L100" t="e">
        <f t="shared" si="10"/>
        <v>#DIV/0!</v>
      </c>
      <c r="M100" t="e">
        <f t="shared" si="11"/>
        <v>#DIV/0!</v>
      </c>
      <c r="N100">
        <f t="shared" si="12"/>
        <v>8.3724608874604645E-3</v>
      </c>
    </row>
    <row r="101" spans="1:14" x14ac:dyDescent="0.45">
      <c r="A101" s="1" t="s">
        <v>98</v>
      </c>
      <c r="B101" s="1"/>
      <c r="C101" s="2"/>
      <c r="D101" s="2">
        <v>0.13800000000000001</v>
      </c>
      <c r="E101" s="2">
        <v>0.18279999999999999</v>
      </c>
      <c r="F101" s="2"/>
      <c r="G101" s="2">
        <v>1231.0392999999999</v>
      </c>
      <c r="H101" s="2">
        <v>2255.1143000000002</v>
      </c>
      <c r="I101" t="e">
        <f t="shared" si="7"/>
        <v>#DIV/0!</v>
      </c>
      <c r="J101">
        <f t="shared" si="8"/>
        <v>8920.5746376811585</v>
      </c>
      <c r="K101">
        <f t="shared" si="9"/>
        <v>12336.51148796499</v>
      </c>
      <c r="L101" t="e">
        <f t="shared" si="10"/>
        <v>#DIV/0!</v>
      </c>
      <c r="M101" t="e">
        <f t="shared" si="11"/>
        <v>#DIV/0!</v>
      </c>
      <c r="N101">
        <f t="shared" si="12"/>
        <v>1.1242133931301135E-2</v>
      </c>
    </row>
    <row r="102" spans="1:14" x14ac:dyDescent="0.45">
      <c r="A102" s="1" t="s">
        <v>99</v>
      </c>
      <c r="B102" s="1"/>
      <c r="C102" s="2">
        <v>9.8089999999999993</v>
      </c>
      <c r="D102" s="2">
        <v>17.325800000000001</v>
      </c>
      <c r="E102" s="2">
        <v>21.323699999999999</v>
      </c>
      <c r="F102" s="2">
        <v>15446.7158</v>
      </c>
      <c r="G102" s="2">
        <v>66645.882800000007</v>
      </c>
      <c r="H102" s="2">
        <v>284266.6875</v>
      </c>
      <c r="I102">
        <f t="shared" si="7"/>
        <v>1574.7492914670202</v>
      </c>
      <c r="J102">
        <f t="shared" si="8"/>
        <v>3846.6265800136216</v>
      </c>
      <c r="K102">
        <f t="shared" si="9"/>
        <v>13331.020765626979</v>
      </c>
      <c r="L102">
        <f t="shared" si="10"/>
        <v>3.0217572860227415E-2</v>
      </c>
      <c r="M102">
        <f t="shared" si="11"/>
        <v>3.6866671509821813E-2</v>
      </c>
      <c r="N102">
        <f t="shared" si="12"/>
        <v>4.3790211722118277E-2</v>
      </c>
    </row>
    <row r="103" spans="1:14" x14ac:dyDescent="0.45">
      <c r="A103" s="1" t="s">
        <v>100</v>
      </c>
      <c r="B103" s="1"/>
      <c r="C103" s="2">
        <v>0.82779999999999998</v>
      </c>
      <c r="D103" s="2">
        <v>1.7037</v>
      </c>
      <c r="E103" s="2">
        <v>2.1253000000000002</v>
      </c>
      <c r="F103" s="2">
        <v>468.36950000000002</v>
      </c>
      <c r="G103" s="2">
        <v>2189.4009000000001</v>
      </c>
      <c r="H103" s="2">
        <v>6411.6527999999998</v>
      </c>
      <c r="I103">
        <f t="shared" si="7"/>
        <v>565.80031408552793</v>
      </c>
      <c r="J103">
        <f t="shared" si="8"/>
        <v>1285.0859306215884</v>
      </c>
      <c r="K103">
        <f t="shared" si="9"/>
        <v>3016.8224721215825</v>
      </c>
      <c r="L103">
        <f t="shared" si="10"/>
        <v>2.7721951348766982E-2</v>
      </c>
      <c r="M103">
        <f t="shared" si="11"/>
        <v>2.8774311452425261E-2</v>
      </c>
      <c r="N103">
        <f t="shared" si="12"/>
        <v>2.9864093815800574E-2</v>
      </c>
    </row>
    <row r="104" spans="1:14" x14ac:dyDescent="0.45">
      <c r="A104" s="1" t="s">
        <v>101</v>
      </c>
      <c r="B104" s="1"/>
      <c r="C104" s="2"/>
      <c r="D104" s="2">
        <v>3.6960000000000002</v>
      </c>
      <c r="E104" s="2">
        <v>2.7595999999999998</v>
      </c>
      <c r="F104" s="2"/>
      <c r="G104" s="2">
        <v>59192.804700000001</v>
      </c>
      <c r="H104" s="2">
        <v>92056.617199999993</v>
      </c>
      <c r="I104" t="e">
        <f t="shared" si="7"/>
        <v>#DIV/0!</v>
      </c>
      <c r="J104">
        <f t="shared" si="8"/>
        <v>16015.369237012987</v>
      </c>
      <c r="K104">
        <f t="shared" si="9"/>
        <v>33358.681403101895</v>
      </c>
      <c r="L104" t="e">
        <f t="shared" si="10"/>
        <v>#DIV/0!</v>
      </c>
      <c r="M104" t="e">
        <f t="shared" si="11"/>
        <v>#DIV/0!</v>
      </c>
      <c r="N104">
        <f t="shared" si="12"/>
        <v>2.5625208977310576E-2</v>
      </c>
    </row>
    <row r="105" spans="1:14" x14ac:dyDescent="0.45">
      <c r="A105" s="1" t="s">
        <v>102</v>
      </c>
      <c r="B105" s="1"/>
      <c r="C105" s="2">
        <v>0.31440000000000001</v>
      </c>
      <c r="D105" s="2">
        <v>0.38179999999999997</v>
      </c>
      <c r="E105" s="2">
        <v>0.61570000000000003</v>
      </c>
      <c r="F105" s="2">
        <v>6940.1377000000002</v>
      </c>
      <c r="G105" s="2">
        <v>20681.218799999999</v>
      </c>
      <c r="H105" s="2">
        <v>56563.882799999999</v>
      </c>
      <c r="I105">
        <f t="shared" si="7"/>
        <v>22074.229325699744</v>
      </c>
      <c r="J105">
        <f t="shared" si="8"/>
        <v>54167.676270298587</v>
      </c>
      <c r="K105">
        <f t="shared" si="9"/>
        <v>91869.226571382169</v>
      </c>
      <c r="L105">
        <f t="shared" si="10"/>
        <v>3.0374625904533659E-2</v>
      </c>
      <c r="M105">
        <f t="shared" si="11"/>
        <v>2.4463164645930124E-2</v>
      </c>
      <c r="N105">
        <f t="shared" si="12"/>
        <v>1.8383547149907642E-2</v>
      </c>
    </row>
    <row r="106" spans="1:14" x14ac:dyDescent="0.45">
      <c r="A106" s="1" t="s">
        <v>103</v>
      </c>
      <c r="B106" s="1"/>
      <c r="C106" s="2"/>
      <c r="D106" s="2">
        <v>2.6644000000000001</v>
      </c>
      <c r="E106" s="2">
        <v>1.9067000000000001</v>
      </c>
      <c r="F106" s="2"/>
      <c r="G106" s="2">
        <v>45364.019500000002</v>
      </c>
      <c r="H106" s="2">
        <v>56261.554700000001</v>
      </c>
      <c r="I106" t="e">
        <f t="shared" si="7"/>
        <v>#DIV/0!</v>
      </c>
      <c r="J106">
        <f t="shared" si="8"/>
        <v>17025.979394985738</v>
      </c>
      <c r="K106">
        <f t="shared" si="9"/>
        <v>29507.292547333087</v>
      </c>
      <c r="L106" t="e">
        <f t="shared" si="10"/>
        <v>#DIV/0!</v>
      </c>
      <c r="M106" t="e">
        <f t="shared" si="11"/>
        <v>#DIV/0!</v>
      </c>
      <c r="N106">
        <f t="shared" si="12"/>
        <v>1.9142887435206646E-2</v>
      </c>
    </row>
    <row r="107" spans="1:14" x14ac:dyDescent="0.45">
      <c r="A107" s="1" t="s">
        <v>104</v>
      </c>
      <c r="B107" s="1"/>
      <c r="C107" s="2"/>
      <c r="D107" s="2">
        <v>0.34379999999999999</v>
      </c>
      <c r="E107" s="2">
        <v>0.64039999999999997</v>
      </c>
      <c r="F107" s="2"/>
      <c r="G107" s="2">
        <v>12345.5234</v>
      </c>
      <c r="H107" s="2">
        <v>58838.316400000003</v>
      </c>
      <c r="I107" t="e">
        <f t="shared" si="7"/>
        <v>#DIV/0!</v>
      </c>
      <c r="J107">
        <f t="shared" si="8"/>
        <v>35909.02675974404</v>
      </c>
      <c r="K107">
        <f t="shared" si="9"/>
        <v>91877.445971267967</v>
      </c>
      <c r="L107" t="e">
        <f t="shared" si="10"/>
        <v>#DIV/0!</v>
      </c>
      <c r="M107" t="e">
        <f t="shared" si="11"/>
        <v>#DIV/0!</v>
      </c>
      <c r="N107">
        <f t="shared" si="12"/>
        <v>3.2925853221022816E-2</v>
      </c>
    </row>
    <row r="108" spans="1:14" x14ac:dyDescent="0.45">
      <c r="A108" s="1" t="s">
        <v>105</v>
      </c>
      <c r="B108" s="1"/>
      <c r="C108" s="2">
        <v>12.497999999999999</v>
      </c>
      <c r="D108" s="2">
        <v>24.807500000000001</v>
      </c>
      <c r="E108" s="2">
        <v>36.471800000000002</v>
      </c>
      <c r="F108" s="2">
        <v>18344.531299999999</v>
      </c>
      <c r="G108" s="2">
        <v>92848.789099999995</v>
      </c>
      <c r="H108" s="2">
        <v>290480.21879999997</v>
      </c>
      <c r="I108">
        <f t="shared" si="7"/>
        <v>1467.7973515762521</v>
      </c>
      <c r="J108">
        <f t="shared" si="8"/>
        <v>3742.7708999294564</v>
      </c>
      <c r="K108">
        <f t="shared" si="9"/>
        <v>7964.5155654505661</v>
      </c>
      <c r="L108">
        <f t="shared" si="10"/>
        <v>3.1693999957655539E-2</v>
      </c>
      <c r="M108">
        <f t="shared" si="11"/>
        <v>2.9079764370607775E-2</v>
      </c>
      <c r="N108">
        <f t="shared" si="12"/>
        <v>2.6382353376917411E-2</v>
      </c>
    </row>
    <row r="109" spans="1:14" x14ac:dyDescent="0.45">
      <c r="A109" s="1" t="s">
        <v>106</v>
      </c>
      <c r="B109" s="1"/>
      <c r="C109" s="2"/>
      <c r="D109" s="2">
        <v>4.3655999999999997</v>
      </c>
      <c r="E109" s="2">
        <v>4.0433000000000003</v>
      </c>
      <c r="F109" s="2"/>
      <c r="G109" s="2">
        <v>49036.796900000001</v>
      </c>
      <c r="H109" s="2">
        <v>39843.574200000003</v>
      </c>
      <c r="I109" t="e">
        <f t="shared" si="7"/>
        <v>#DIV/0!</v>
      </c>
      <c r="J109">
        <f t="shared" si="8"/>
        <v>11232.544644493313</v>
      </c>
      <c r="K109">
        <f t="shared" si="9"/>
        <v>9854.2216011673627</v>
      </c>
      <c r="L109" t="e">
        <f t="shared" si="10"/>
        <v>#DIV/0!</v>
      </c>
      <c r="M109" t="e">
        <f t="shared" si="11"/>
        <v>#DIV/0!</v>
      </c>
      <c r="N109">
        <f t="shared" si="12"/>
        <v>-4.5041493507166352E-3</v>
      </c>
    </row>
    <row r="110" spans="1:14" x14ac:dyDescent="0.45">
      <c r="A110" s="1" t="s">
        <v>107</v>
      </c>
      <c r="B110" s="1"/>
      <c r="C110" s="2">
        <v>5.3282999999999996</v>
      </c>
      <c r="D110" s="2">
        <v>11.598599999999999</v>
      </c>
      <c r="E110" s="2">
        <v>26.9693</v>
      </c>
      <c r="F110" s="2">
        <v>13445.343800000001</v>
      </c>
      <c r="G110" s="2">
        <v>22140.445299999999</v>
      </c>
      <c r="H110" s="2">
        <v>44965.421900000001</v>
      </c>
      <c r="I110">
        <f t="shared" si="7"/>
        <v>2523.3834055890247</v>
      </c>
      <c r="J110">
        <f t="shared" si="8"/>
        <v>1908.8894607969928</v>
      </c>
      <c r="K110">
        <f t="shared" si="9"/>
        <v>1667.2817574056428</v>
      </c>
      <c r="L110">
        <f t="shared" si="10"/>
        <v>-9.2594971554667005E-3</v>
      </c>
      <c r="M110">
        <f t="shared" si="11"/>
        <v>-6.9992212667502329E-3</v>
      </c>
      <c r="N110">
        <f t="shared" si="12"/>
        <v>-4.6555783072030898E-3</v>
      </c>
    </row>
    <row r="111" spans="1:14" x14ac:dyDescent="0.45">
      <c r="A111" s="1" t="s">
        <v>108</v>
      </c>
      <c r="B111" s="1"/>
      <c r="C111" s="2"/>
      <c r="D111" s="2">
        <v>0.22320000000000001</v>
      </c>
      <c r="E111" s="2">
        <v>0.53100000000000003</v>
      </c>
      <c r="F111" s="2"/>
      <c r="G111" s="2">
        <v>2071.5041999999999</v>
      </c>
      <c r="H111" s="2">
        <v>11060.113300000001</v>
      </c>
      <c r="I111" t="e">
        <f t="shared" si="7"/>
        <v>#DIV/0!</v>
      </c>
      <c r="J111">
        <f t="shared" si="8"/>
        <v>9280.9327956989237</v>
      </c>
      <c r="K111">
        <f t="shared" si="9"/>
        <v>20828.838606403013</v>
      </c>
      <c r="L111" t="e">
        <f t="shared" si="10"/>
        <v>#DIV/0!</v>
      </c>
      <c r="M111" t="e">
        <f t="shared" si="11"/>
        <v>#DIV/0!</v>
      </c>
      <c r="N111">
        <f t="shared" si="12"/>
        <v>2.8267194031690979E-2</v>
      </c>
    </row>
    <row r="112" spans="1:14" x14ac:dyDescent="0.45">
      <c r="A112" s="1" t="s">
        <v>109</v>
      </c>
      <c r="B112" s="1"/>
      <c r="C112" s="2">
        <v>37.6417</v>
      </c>
      <c r="D112" s="2">
        <v>83.943100000000001</v>
      </c>
      <c r="E112" s="2">
        <v>127.57550000000001</v>
      </c>
      <c r="F112" s="2">
        <v>274371.6875</v>
      </c>
      <c r="G112" s="2">
        <v>1182592.75</v>
      </c>
      <c r="H112" s="2">
        <v>2406409.75</v>
      </c>
      <c r="I112">
        <f t="shared" si="7"/>
        <v>7289.0354978653995</v>
      </c>
      <c r="J112">
        <f t="shared" si="8"/>
        <v>14088.028080926246</v>
      </c>
      <c r="K112">
        <f t="shared" si="9"/>
        <v>18862.632323604452</v>
      </c>
      <c r="L112">
        <f t="shared" si="10"/>
        <v>2.220814735606802E-2</v>
      </c>
      <c r="M112">
        <f t="shared" si="11"/>
        <v>1.6246005213091941E-2</v>
      </c>
      <c r="N112">
        <f t="shared" si="12"/>
        <v>1.0114863732840096E-2</v>
      </c>
    </row>
    <row r="113" spans="1:14" x14ac:dyDescent="0.45">
      <c r="A113" s="1" t="s">
        <v>110</v>
      </c>
      <c r="B113" s="1"/>
      <c r="C113" s="2"/>
      <c r="D113" s="2">
        <v>1.9962</v>
      </c>
      <c r="E113" s="2">
        <v>2.0834999999999999</v>
      </c>
      <c r="F113" s="2"/>
      <c r="G113" s="2">
        <v>20428.398399999998</v>
      </c>
      <c r="H113" s="2">
        <v>33739.859400000001</v>
      </c>
      <c r="I113" t="e">
        <f t="shared" si="7"/>
        <v>#DIV/0!</v>
      </c>
      <c r="J113">
        <f t="shared" si="8"/>
        <v>10233.643121931669</v>
      </c>
      <c r="K113">
        <f t="shared" si="9"/>
        <v>16193.837005039599</v>
      </c>
      <c r="L113" t="e">
        <f t="shared" si="10"/>
        <v>#DIV/0!</v>
      </c>
      <c r="M113" t="e">
        <f t="shared" si="11"/>
        <v>#DIV/0!</v>
      </c>
      <c r="N113">
        <f t="shared" si="12"/>
        <v>1.595175777159108E-2</v>
      </c>
    </row>
    <row r="114" spans="1:14" x14ac:dyDescent="0.45">
      <c r="A114" s="1" t="s">
        <v>111</v>
      </c>
      <c r="B114" s="1"/>
      <c r="C114" s="2">
        <v>4.8212999999999999</v>
      </c>
      <c r="D114" s="2">
        <v>8.4498999999999995</v>
      </c>
      <c r="E114" s="2">
        <v>19.658000000000001</v>
      </c>
      <c r="F114" s="2">
        <v>1497.8552999999999</v>
      </c>
      <c r="G114" s="2">
        <v>3425.8877000000002</v>
      </c>
      <c r="H114" s="2">
        <v>47226.656300000002</v>
      </c>
      <c r="I114">
        <f t="shared" si="7"/>
        <v>310.67456909962044</v>
      </c>
      <c r="J114">
        <f t="shared" si="8"/>
        <v>405.43529509224965</v>
      </c>
      <c r="K114">
        <f t="shared" si="9"/>
        <v>2402.4140960423238</v>
      </c>
      <c r="L114">
        <f t="shared" si="10"/>
        <v>8.9133336076254732E-3</v>
      </c>
      <c r="M114">
        <f t="shared" si="11"/>
        <v>3.5277193361129999E-2</v>
      </c>
      <c r="N114">
        <f t="shared" si="12"/>
        <v>6.3275323694633956E-2</v>
      </c>
    </row>
    <row r="115" spans="1:14" x14ac:dyDescent="0.45">
      <c r="A115" s="1" t="s">
        <v>112</v>
      </c>
      <c r="B115" s="1"/>
      <c r="C115" s="2">
        <v>0.3301</v>
      </c>
      <c r="D115" s="2">
        <v>0.36199999999999999</v>
      </c>
      <c r="E115" s="2">
        <v>0.44040000000000001</v>
      </c>
      <c r="F115" s="2">
        <v>828.17809999999997</v>
      </c>
      <c r="G115" s="2">
        <v>5035.5775999999996</v>
      </c>
      <c r="H115" s="2">
        <v>17294.841799999998</v>
      </c>
      <c r="I115">
        <f t="shared" si="7"/>
        <v>2508.8703423205088</v>
      </c>
      <c r="J115">
        <f t="shared" si="8"/>
        <v>13910.435359116022</v>
      </c>
      <c r="K115">
        <f t="shared" si="9"/>
        <v>39270.757947320613</v>
      </c>
      <c r="L115">
        <f t="shared" si="10"/>
        <v>5.8754859856825048E-2</v>
      </c>
      <c r="M115">
        <f t="shared" si="11"/>
        <v>4.7724998474993896E-2</v>
      </c>
      <c r="N115">
        <f t="shared" si="12"/>
        <v>3.6435700811349392E-2</v>
      </c>
    </row>
    <row r="116" spans="1:14" x14ac:dyDescent="0.45">
      <c r="A116" s="1" t="s">
        <v>113</v>
      </c>
      <c r="B116" s="1"/>
      <c r="C116" s="2"/>
      <c r="D116" s="2">
        <v>41.3352</v>
      </c>
      <c r="E116" s="2">
        <v>54.045400000000001</v>
      </c>
      <c r="F116" s="2"/>
      <c r="G116" s="2">
        <v>25020.585899999998</v>
      </c>
      <c r="H116" s="2">
        <v>279259</v>
      </c>
      <c r="I116" t="e">
        <f t="shared" si="7"/>
        <v>#DIV/0!</v>
      </c>
      <c r="J116">
        <f t="shared" si="8"/>
        <v>605.30941909075068</v>
      </c>
      <c r="K116">
        <f t="shared" si="9"/>
        <v>5167.1187557127896</v>
      </c>
      <c r="L116" t="e">
        <f t="shared" si="10"/>
        <v>#DIV/0!</v>
      </c>
      <c r="M116" t="e">
        <f t="shared" si="11"/>
        <v>#DIV/0!</v>
      </c>
      <c r="N116">
        <f t="shared" si="12"/>
        <v>7.6744825824014207E-2</v>
      </c>
    </row>
    <row r="117" spans="1:14" x14ac:dyDescent="0.45">
      <c r="A117" s="1" t="s">
        <v>114</v>
      </c>
      <c r="B117" s="1"/>
      <c r="C117" s="2"/>
      <c r="D117" s="2">
        <v>0.61499999999999999</v>
      </c>
      <c r="E117" s="2">
        <v>0.628</v>
      </c>
      <c r="F117" s="2"/>
      <c r="G117" s="2">
        <v>9970.4434000000001</v>
      </c>
      <c r="H117" s="2">
        <v>13337.984399999999</v>
      </c>
      <c r="I117" t="e">
        <f t="shared" si="7"/>
        <v>#DIV/0!</v>
      </c>
      <c r="J117">
        <f t="shared" si="8"/>
        <v>16212.103089430895</v>
      </c>
      <c r="K117">
        <f t="shared" si="9"/>
        <v>21238.828662420379</v>
      </c>
      <c r="L117" t="e">
        <f t="shared" si="10"/>
        <v>#DIV/0!</v>
      </c>
      <c r="M117" t="e">
        <f t="shared" si="11"/>
        <v>#DIV/0!</v>
      </c>
      <c r="N117">
        <f t="shared" si="12"/>
        <v>9.3563609877136411E-3</v>
      </c>
    </row>
    <row r="118" spans="1:14" x14ac:dyDescent="0.45">
      <c r="A118" s="1" t="s">
        <v>115</v>
      </c>
      <c r="B118" s="1"/>
      <c r="C118" s="2"/>
      <c r="D118" s="2">
        <v>2.1840999999999999</v>
      </c>
      <c r="E118" s="2">
        <v>3.2252000000000001</v>
      </c>
      <c r="F118" s="2"/>
      <c r="G118" s="2">
        <v>9990.1113000000005</v>
      </c>
      <c r="H118" s="2">
        <v>36614.546900000001</v>
      </c>
      <c r="I118" t="e">
        <f t="shared" si="7"/>
        <v>#DIV/0!</v>
      </c>
      <c r="J118">
        <f t="shared" si="8"/>
        <v>4574.0173526853168</v>
      </c>
      <c r="K118">
        <f t="shared" si="9"/>
        <v>11352.643836041176</v>
      </c>
      <c r="L118" t="e">
        <f t="shared" si="10"/>
        <v>#DIV/0!</v>
      </c>
      <c r="M118" t="e">
        <f t="shared" si="11"/>
        <v>#DIV/0!</v>
      </c>
      <c r="N118">
        <f t="shared" si="12"/>
        <v>3.1843340762487404E-2</v>
      </c>
    </row>
    <row r="119" spans="1:14" x14ac:dyDescent="0.45">
      <c r="A119" s="1" t="s">
        <v>116</v>
      </c>
      <c r="B119" s="1"/>
      <c r="C119" s="2">
        <v>7.2461000000000002</v>
      </c>
      <c r="D119" s="2">
        <v>12.987299999999999</v>
      </c>
      <c r="E119" s="2">
        <v>30.366</v>
      </c>
      <c r="F119" s="2">
        <v>2996.0176000000001</v>
      </c>
      <c r="G119" s="2">
        <v>6041.3770000000004</v>
      </c>
      <c r="H119" s="2">
        <v>38393.832000000002</v>
      </c>
      <c r="I119">
        <f t="shared" si="7"/>
        <v>413.46622320972659</v>
      </c>
      <c r="J119">
        <f t="shared" si="8"/>
        <v>465.17574861595563</v>
      </c>
      <c r="K119">
        <f t="shared" si="9"/>
        <v>1264.3690970164</v>
      </c>
      <c r="L119">
        <f t="shared" si="10"/>
        <v>3.9357067046625893E-3</v>
      </c>
      <c r="M119">
        <f t="shared" si="11"/>
        <v>1.9125555667435012E-2</v>
      </c>
      <c r="N119">
        <f t="shared" si="12"/>
        <v>3.5081085654923516E-2</v>
      </c>
    </row>
    <row r="120" spans="1:14" x14ac:dyDescent="0.45">
      <c r="A120" s="1" t="s">
        <v>117</v>
      </c>
      <c r="B120" s="1"/>
      <c r="C120" s="2">
        <v>0.99380000000000002</v>
      </c>
      <c r="D120" s="2">
        <v>2.0343</v>
      </c>
      <c r="E120" s="2">
        <v>4.5256999999999996</v>
      </c>
      <c r="F120" s="2">
        <v>2328.9785000000002</v>
      </c>
      <c r="G120" s="2">
        <v>8786.4843999999994</v>
      </c>
      <c r="H120" s="2">
        <v>22862.271499999999</v>
      </c>
      <c r="I120">
        <f t="shared" si="7"/>
        <v>2343.5082511571745</v>
      </c>
      <c r="J120">
        <f t="shared" si="8"/>
        <v>4319.1684608956393</v>
      </c>
      <c r="K120">
        <f t="shared" si="9"/>
        <v>5051.6542192368033</v>
      </c>
      <c r="L120">
        <f t="shared" si="10"/>
        <v>2.0589560987426259E-2</v>
      </c>
      <c r="M120">
        <f t="shared" si="11"/>
        <v>1.3103183731823176E-2</v>
      </c>
      <c r="N120">
        <f t="shared" si="12"/>
        <v>5.4164389089248477E-3</v>
      </c>
    </row>
    <row r="121" spans="1:14" x14ac:dyDescent="0.45">
      <c r="A121" s="1" t="s">
        <v>118</v>
      </c>
      <c r="B121" s="1"/>
      <c r="C121" s="2"/>
      <c r="D121" s="2">
        <v>1.06E-2</v>
      </c>
      <c r="E121" s="2">
        <v>5.0000000000000001E-3</v>
      </c>
      <c r="F121" s="2"/>
      <c r="G121" s="2">
        <v>165.09719999999999</v>
      </c>
      <c r="H121" s="2">
        <v>79.797899999999998</v>
      </c>
      <c r="I121" t="e">
        <f t="shared" si="7"/>
        <v>#DIV/0!</v>
      </c>
      <c r="J121">
        <f t="shared" si="8"/>
        <v>15575.20754716981</v>
      </c>
      <c r="K121">
        <f t="shared" si="9"/>
        <v>15959.58</v>
      </c>
      <c r="L121" t="e">
        <f t="shared" si="10"/>
        <v>#DIV/0!</v>
      </c>
      <c r="M121" t="e">
        <f t="shared" si="11"/>
        <v>#DIV/0!</v>
      </c>
      <c r="N121">
        <f t="shared" si="12"/>
        <v>8.4100467525183298E-4</v>
      </c>
    </row>
    <row r="122" spans="1:14" x14ac:dyDescent="0.45">
      <c r="A122" s="1" t="s">
        <v>119</v>
      </c>
      <c r="B122" s="1"/>
      <c r="C122" s="2">
        <v>0.66080000000000005</v>
      </c>
      <c r="D122" s="2">
        <v>1.0559000000000001</v>
      </c>
      <c r="E122" s="2">
        <v>1.2697000000000001</v>
      </c>
      <c r="F122" s="2">
        <v>2377.2581</v>
      </c>
      <c r="G122" s="2">
        <v>8858.625</v>
      </c>
      <c r="H122" s="2">
        <v>30252.9414</v>
      </c>
      <c r="I122">
        <f t="shared" si="7"/>
        <v>3597.5455508474574</v>
      </c>
      <c r="J122">
        <f t="shared" si="8"/>
        <v>8389.643905672885</v>
      </c>
      <c r="K122">
        <f t="shared" si="9"/>
        <v>23826.842088682366</v>
      </c>
      <c r="L122">
        <f t="shared" si="10"/>
        <v>2.8626971089185327E-2</v>
      </c>
      <c r="M122">
        <f t="shared" si="11"/>
        <v>3.2562323531630799E-2</v>
      </c>
      <c r="N122">
        <f t="shared" si="12"/>
        <v>3.6649222179357288E-2</v>
      </c>
    </row>
    <row r="123" spans="1:14" x14ac:dyDescent="0.45">
      <c r="A123" s="1" t="s">
        <v>120</v>
      </c>
      <c r="B123" s="1"/>
      <c r="C123" s="2">
        <v>3.6002000000000001</v>
      </c>
      <c r="D123" s="2">
        <v>9.4045000000000005</v>
      </c>
      <c r="E123" s="2">
        <v>18.628699999999998</v>
      </c>
      <c r="F123" s="2">
        <v>1486.1929</v>
      </c>
      <c r="G123" s="2">
        <v>7650.6890000000003</v>
      </c>
      <c r="H123" s="2">
        <v>22166.9277</v>
      </c>
      <c r="I123">
        <f t="shared" si="7"/>
        <v>412.80842730959392</v>
      </c>
      <c r="J123">
        <f t="shared" si="8"/>
        <v>813.51363708862777</v>
      </c>
      <c r="K123">
        <f t="shared" si="9"/>
        <v>1189.9342251472192</v>
      </c>
      <c r="L123">
        <f t="shared" si="10"/>
        <v>2.2870239042130036E-2</v>
      </c>
      <c r="M123">
        <f t="shared" si="11"/>
        <v>1.8105506726415976E-2</v>
      </c>
      <c r="N123">
        <f t="shared" si="12"/>
        <v>1.3199828328319896E-2</v>
      </c>
    </row>
    <row r="124" spans="1:14" x14ac:dyDescent="0.45">
      <c r="A124" s="1" t="s">
        <v>121</v>
      </c>
      <c r="B124" s="1"/>
      <c r="C124" s="2">
        <v>8.3465000000000007</v>
      </c>
      <c r="D124" s="2">
        <v>18.029800000000002</v>
      </c>
      <c r="E124" s="2">
        <v>31.9498</v>
      </c>
      <c r="F124" s="2">
        <v>21268.904299999998</v>
      </c>
      <c r="G124" s="2">
        <v>168376.79689999999</v>
      </c>
      <c r="H124" s="2">
        <v>821182.8125</v>
      </c>
      <c r="I124">
        <f t="shared" si="7"/>
        <v>2548.2422931767801</v>
      </c>
      <c r="J124">
        <f t="shared" si="8"/>
        <v>9338.8055829792884</v>
      </c>
      <c r="K124">
        <f t="shared" si="9"/>
        <v>25702.283347626588</v>
      </c>
      <c r="L124">
        <f t="shared" si="10"/>
        <v>4.4243275246512948E-2</v>
      </c>
      <c r="M124">
        <f t="shared" si="11"/>
        <v>3.9949833256708089E-2</v>
      </c>
      <c r="N124">
        <f t="shared" si="12"/>
        <v>3.552691686042686E-2</v>
      </c>
    </row>
    <row r="125" spans="1:14" x14ac:dyDescent="0.45">
      <c r="A125" s="1" t="s">
        <v>122</v>
      </c>
      <c r="B125" s="1"/>
      <c r="C125" s="2">
        <v>0.63149999999999995</v>
      </c>
      <c r="D125" s="2">
        <v>1.4329000000000001</v>
      </c>
      <c r="E125" s="2">
        <v>2.4944999999999999</v>
      </c>
      <c r="F125" s="2">
        <v>2729.5146</v>
      </c>
      <c r="G125" s="2">
        <v>8278.0889000000006</v>
      </c>
      <c r="H125" s="2">
        <v>23732.877</v>
      </c>
      <c r="I125">
        <f t="shared" si="7"/>
        <v>4322.2717339667461</v>
      </c>
      <c r="J125">
        <f t="shared" si="8"/>
        <v>5777.1574429478678</v>
      </c>
      <c r="K125">
        <f t="shared" si="9"/>
        <v>9514.0817799158158</v>
      </c>
      <c r="L125">
        <f t="shared" si="10"/>
        <v>9.7179368272601874E-3</v>
      </c>
      <c r="M125">
        <f t="shared" si="11"/>
        <v>1.3462558525664914E-2</v>
      </c>
      <c r="N125">
        <f t="shared" si="12"/>
        <v>1.7350919530704223E-2</v>
      </c>
    </row>
    <row r="126" spans="1:14" x14ac:dyDescent="0.45">
      <c r="A126" s="1" t="s">
        <v>123</v>
      </c>
      <c r="B126" s="1"/>
      <c r="C126" s="2">
        <v>3.6459999999999999</v>
      </c>
      <c r="D126" s="2">
        <v>8.0266000000000002</v>
      </c>
      <c r="E126" s="2">
        <v>23.310700000000001</v>
      </c>
      <c r="F126" s="2">
        <v>6130.5532000000003</v>
      </c>
      <c r="G126" s="2">
        <v>8039.2124000000003</v>
      </c>
      <c r="H126" s="2">
        <v>27602.597699999998</v>
      </c>
      <c r="I126">
        <f t="shared" si="7"/>
        <v>1681.4462973121231</v>
      </c>
      <c r="J126">
        <f t="shared" si="8"/>
        <v>1001.5713253432338</v>
      </c>
      <c r="K126">
        <f t="shared" si="9"/>
        <v>1184.1170664115621</v>
      </c>
      <c r="L126">
        <f t="shared" si="10"/>
        <v>-1.7121211406034176E-2</v>
      </c>
      <c r="M126">
        <f t="shared" si="11"/>
        <v>-5.9257107499000039E-3</v>
      </c>
      <c r="N126">
        <f t="shared" si="12"/>
        <v>5.7900535616435267E-3</v>
      </c>
    </row>
    <row r="127" spans="1:14" x14ac:dyDescent="0.45">
      <c r="A127" s="1" t="s">
        <v>124</v>
      </c>
      <c r="B127" s="1"/>
      <c r="C127" s="2">
        <v>41.843800000000002</v>
      </c>
      <c r="D127" s="2">
        <v>95.212500000000006</v>
      </c>
      <c r="E127" s="2">
        <v>200.96360000000001</v>
      </c>
      <c r="F127" s="2">
        <v>141879.82810000001</v>
      </c>
      <c r="G127" s="2">
        <v>302596.40629999997</v>
      </c>
      <c r="H127" s="2">
        <v>1006236.5625</v>
      </c>
      <c r="I127">
        <f t="shared" si="7"/>
        <v>3390.7013249274687</v>
      </c>
      <c r="J127">
        <f t="shared" si="8"/>
        <v>3178.116384928449</v>
      </c>
      <c r="K127">
        <f t="shared" si="9"/>
        <v>5007.058803186248</v>
      </c>
      <c r="L127">
        <f t="shared" si="10"/>
        <v>-2.155942310440917E-3</v>
      </c>
      <c r="M127">
        <f t="shared" si="11"/>
        <v>6.6288555532556526E-3</v>
      </c>
      <c r="N127">
        <f t="shared" si="12"/>
        <v>1.5797971407329303E-2</v>
      </c>
    </row>
    <row r="128" spans="1:14" x14ac:dyDescent="0.45">
      <c r="A128" s="1" t="s">
        <v>125</v>
      </c>
      <c r="B128" s="1"/>
      <c r="C128" s="2">
        <v>1.7501</v>
      </c>
      <c r="D128" s="2">
        <v>4.1734</v>
      </c>
      <c r="E128" s="2">
        <v>6.5454999999999997</v>
      </c>
      <c r="F128" s="2">
        <v>7451.2133999999996</v>
      </c>
      <c r="G128" s="2">
        <v>13576.959000000001</v>
      </c>
      <c r="H128" s="2">
        <v>33332.582000000002</v>
      </c>
      <c r="I128">
        <f t="shared" si="7"/>
        <v>4257.5929375464257</v>
      </c>
      <c r="J128">
        <f t="shared" si="8"/>
        <v>3253.2129678439642</v>
      </c>
      <c r="K128">
        <f t="shared" si="9"/>
        <v>5092.4424413719353</v>
      </c>
      <c r="L128">
        <f t="shared" si="10"/>
        <v>-8.9285961883798226E-3</v>
      </c>
      <c r="M128">
        <f t="shared" si="11"/>
        <v>3.0394165353335723E-3</v>
      </c>
      <c r="N128">
        <f t="shared" si="12"/>
        <v>1.5572225412738616E-2</v>
      </c>
    </row>
    <row r="129" spans="1:14" x14ac:dyDescent="0.45">
      <c r="A129" s="1" t="s">
        <v>126</v>
      </c>
      <c r="B129" s="1"/>
      <c r="C129" s="2">
        <v>11.459199999999999</v>
      </c>
      <c r="D129" s="2">
        <v>14.965400000000001</v>
      </c>
      <c r="E129" s="2">
        <v>17.097100000000001</v>
      </c>
      <c r="F129" s="2">
        <v>183961.3438</v>
      </c>
      <c r="G129" s="2">
        <v>533246.375</v>
      </c>
      <c r="H129" s="2">
        <v>960770.875</v>
      </c>
      <c r="I129">
        <f t="shared" si="7"/>
        <v>16053.593950712093</v>
      </c>
      <c r="J129">
        <f t="shared" si="8"/>
        <v>35631.949363197775</v>
      </c>
      <c r="K129">
        <f t="shared" si="9"/>
        <v>56194.961426206777</v>
      </c>
      <c r="L129">
        <f t="shared" si="10"/>
        <v>2.693331612274541E-2</v>
      </c>
      <c r="M129">
        <f t="shared" si="11"/>
        <v>2.1462575186973476E-2</v>
      </c>
      <c r="N129">
        <f t="shared" si="12"/>
        <v>1.5833854970292993E-2</v>
      </c>
    </row>
    <row r="130" spans="1:14" x14ac:dyDescent="0.45">
      <c r="A130" s="1" t="s">
        <v>127</v>
      </c>
      <c r="B130" s="1"/>
      <c r="C130" s="2">
        <v>3.58</v>
      </c>
      <c r="D130" s="2">
        <v>4.2473000000000001</v>
      </c>
      <c r="E130" s="2">
        <v>5.3788999999999998</v>
      </c>
      <c r="F130" s="2">
        <v>63278.406300000002</v>
      </c>
      <c r="G130" s="2">
        <v>194931.2813</v>
      </c>
      <c r="H130" s="2">
        <v>377715.34379999997</v>
      </c>
      <c r="I130">
        <f t="shared" si="7"/>
        <v>17675.53248603352</v>
      </c>
      <c r="J130">
        <f t="shared" si="8"/>
        <v>45895.340875379654</v>
      </c>
      <c r="K130">
        <f t="shared" si="9"/>
        <v>70221.670564613582</v>
      </c>
      <c r="L130">
        <f t="shared" si="10"/>
        <v>3.2317294384176742E-2</v>
      </c>
      <c r="M130">
        <f t="shared" si="11"/>
        <v>2.3656419787119853E-2</v>
      </c>
      <c r="N130">
        <f t="shared" si="12"/>
        <v>1.4773351051669215E-2</v>
      </c>
    </row>
    <row r="131" spans="1:14" x14ac:dyDescent="0.45">
      <c r="A131" s="1" t="s">
        <v>128</v>
      </c>
      <c r="B131" s="1"/>
      <c r="C131" s="2">
        <v>10.166</v>
      </c>
      <c r="D131" s="2">
        <v>18.9055</v>
      </c>
      <c r="E131" s="2">
        <v>28.608699999999999</v>
      </c>
      <c r="F131" s="2">
        <v>11155.608399999999</v>
      </c>
      <c r="G131" s="2">
        <v>27925.539100000002</v>
      </c>
      <c r="H131" s="2">
        <v>103411.7344</v>
      </c>
      <c r="I131">
        <f t="shared" si="7"/>
        <v>1097.3449144206177</v>
      </c>
      <c r="J131">
        <f t="shared" si="8"/>
        <v>1477.111903943297</v>
      </c>
      <c r="K131">
        <f t="shared" si="9"/>
        <v>3614.6953339368797</v>
      </c>
      <c r="L131">
        <f t="shared" si="10"/>
        <v>9.9557391168696441E-3</v>
      </c>
      <c r="M131">
        <f t="shared" si="11"/>
        <v>2.0410831793281847E-2</v>
      </c>
      <c r="N131">
        <f t="shared" si="12"/>
        <v>3.1340352388846915E-2</v>
      </c>
    </row>
    <row r="132" spans="1:14" x14ac:dyDescent="0.45">
      <c r="A132" s="1" t="s">
        <v>129</v>
      </c>
      <c r="B132" s="1"/>
      <c r="C132" s="2">
        <v>2.3635999999999999</v>
      </c>
      <c r="D132" s="2">
        <v>3.3982000000000001</v>
      </c>
      <c r="E132" s="2">
        <v>4.7831000000000001</v>
      </c>
      <c r="F132" s="2">
        <v>40998.097699999998</v>
      </c>
      <c r="G132" s="2">
        <v>84118.484400000001</v>
      </c>
      <c r="H132" s="2">
        <v>196352.7813</v>
      </c>
      <c r="I132">
        <f t="shared" ref="I132:I185" si="13">F132/C132</f>
        <v>17345.61588255204</v>
      </c>
      <c r="J132">
        <f t="shared" ref="J132:J185" si="14">G132/D132</f>
        <v>24753.83567771173</v>
      </c>
      <c r="K132">
        <f t="shared" ref="K132:K185" si="15">H132/E132</f>
        <v>41051.364449833789</v>
      </c>
      <c r="L132">
        <f t="shared" ref="L132:L185" si="16">(J132/I132)^(1/30)-1</f>
        <v>1.1925234189713585E-2</v>
      </c>
      <c r="M132">
        <f t="shared" ref="M132:M185" si="17">(K132/I132)^(1/59)-1</f>
        <v>1.4708550184172164E-2</v>
      </c>
      <c r="N132">
        <f t="shared" ref="N132:N185" si="18">(K132/J132)^(1/29)-1</f>
        <v>1.759589892878477E-2</v>
      </c>
    </row>
    <row r="133" spans="1:14" x14ac:dyDescent="0.45">
      <c r="A133" s="1" t="s">
        <v>130</v>
      </c>
      <c r="B133" s="1"/>
      <c r="C133" s="2"/>
      <c r="D133" s="2">
        <v>1.8122</v>
      </c>
      <c r="E133" s="2">
        <v>4.9749999999999996</v>
      </c>
      <c r="F133" s="2"/>
      <c r="G133" s="2">
        <v>52334.652300000002</v>
      </c>
      <c r="H133" s="2">
        <v>145134.79689999999</v>
      </c>
      <c r="I133" t="e">
        <f t="shared" si="13"/>
        <v>#DIV/0!</v>
      </c>
      <c r="J133">
        <f t="shared" si="14"/>
        <v>28879.070908288268</v>
      </c>
      <c r="K133">
        <f t="shared" si="15"/>
        <v>29172.823497487436</v>
      </c>
      <c r="L133" t="e">
        <f t="shared" si="16"/>
        <v>#DIV/0!</v>
      </c>
      <c r="M133" t="e">
        <f t="shared" si="17"/>
        <v>#DIV/0!</v>
      </c>
      <c r="N133">
        <f t="shared" si="18"/>
        <v>3.4904128072832385E-4</v>
      </c>
    </row>
    <row r="134" spans="1:14" x14ac:dyDescent="0.45">
      <c r="A134" s="1" t="s">
        <v>131</v>
      </c>
      <c r="B134" s="1"/>
      <c r="C134" s="2">
        <v>44.586500000000001</v>
      </c>
      <c r="D134" s="2">
        <v>107.64790000000001</v>
      </c>
      <c r="E134" s="2">
        <v>216.56530000000001</v>
      </c>
      <c r="F134" s="2">
        <v>56423.148399999998</v>
      </c>
      <c r="G134" s="2">
        <v>327524.75</v>
      </c>
      <c r="H134" s="2">
        <v>1078572.625</v>
      </c>
      <c r="I134">
        <f t="shared" si="13"/>
        <v>1265.4760611395825</v>
      </c>
      <c r="J134">
        <f t="shared" si="14"/>
        <v>3042.55586964539</v>
      </c>
      <c r="K134">
        <f t="shared" si="15"/>
        <v>4980.3575411203919</v>
      </c>
      <c r="L134">
        <f t="shared" si="16"/>
        <v>2.9673385827566845E-2</v>
      </c>
      <c r="M134">
        <f t="shared" si="17"/>
        <v>2.3492954502329022E-2</v>
      </c>
      <c r="N134">
        <f t="shared" si="18"/>
        <v>1.7138439960355356E-2</v>
      </c>
    </row>
    <row r="135" spans="1:14" x14ac:dyDescent="0.45">
      <c r="A135" s="1" t="s">
        <v>132</v>
      </c>
      <c r="B135" s="1"/>
      <c r="C135" s="2">
        <v>1.1388</v>
      </c>
      <c r="D135" s="2">
        <v>2.4708999999999999</v>
      </c>
      <c r="E135" s="2">
        <v>4.2464000000000004</v>
      </c>
      <c r="F135" s="2">
        <v>4896.3671999999997</v>
      </c>
      <c r="G135" s="2">
        <v>25959.355500000001</v>
      </c>
      <c r="H135" s="2">
        <v>129144.78909999999</v>
      </c>
      <c r="I135">
        <f t="shared" si="13"/>
        <v>4299.584826132771</v>
      </c>
      <c r="J135">
        <f t="shared" si="14"/>
        <v>10506.032417337814</v>
      </c>
      <c r="K135">
        <f t="shared" si="15"/>
        <v>30412.770605689522</v>
      </c>
      <c r="L135">
        <f t="shared" si="16"/>
        <v>3.0228928342240335E-2</v>
      </c>
      <c r="M135">
        <f t="shared" si="17"/>
        <v>3.3714241032460457E-2</v>
      </c>
      <c r="N135">
        <f t="shared" si="18"/>
        <v>3.7332145265130068E-2</v>
      </c>
    </row>
    <row r="136" spans="1:14" x14ac:dyDescent="0.45">
      <c r="A136" s="1" t="s">
        <v>133</v>
      </c>
      <c r="B136" s="1"/>
      <c r="C136" s="2">
        <v>10.132</v>
      </c>
      <c r="D136" s="2">
        <v>22.071400000000001</v>
      </c>
      <c r="E136" s="2">
        <v>32.5105</v>
      </c>
      <c r="F136" s="2">
        <v>51042.632799999999</v>
      </c>
      <c r="G136" s="2">
        <v>110763.19530000001</v>
      </c>
      <c r="H136" s="2">
        <v>399324.96879999997</v>
      </c>
      <c r="I136">
        <f t="shared" si="13"/>
        <v>5037.7647848401102</v>
      </c>
      <c r="J136">
        <f t="shared" si="14"/>
        <v>5018.4036943737146</v>
      </c>
      <c r="K136">
        <f t="shared" si="15"/>
        <v>12282.95377801018</v>
      </c>
      <c r="L136">
        <f t="shared" si="16"/>
        <v>-1.2834491885493904E-4</v>
      </c>
      <c r="M136">
        <f t="shared" si="17"/>
        <v>1.5220602456919474E-2</v>
      </c>
      <c r="N136">
        <f t="shared" si="18"/>
        <v>3.1346815241859893E-2</v>
      </c>
    </row>
    <row r="137" spans="1:14" x14ac:dyDescent="0.45">
      <c r="A137" s="1" t="s">
        <v>134</v>
      </c>
      <c r="B137" s="1"/>
      <c r="C137" s="2">
        <v>26.459599999999998</v>
      </c>
      <c r="D137" s="2">
        <v>61.895200000000003</v>
      </c>
      <c r="E137" s="2">
        <v>108.11660000000001</v>
      </c>
      <c r="F137" s="2">
        <v>75788.265599999999</v>
      </c>
      <c r="G137" s="2">
        <v>257518.4063</v>
      </c>
      <c r="H137" s="2">
        <v>929959.5</v>
      </c>
      <c r="I137">
        <f t="shared" si="13"/>
        <v>2864.3012592782961</v>
      </c>
      <c r="J137">
        <f t="shared" si="14"/>
        <v>4160.5553629360593</v>
      </c>
      <c r="K137">
        <f t="shared" si="15"/>
        <v>8601.4497311236191</v>
      </c>
      <c r="L137">
        <f t="shared" si="16"/>
        <v>1.2521888267518877E-2</v>
      </c>
      <c r="M137">
        <f t="shared" si="17"/>
        <v>1.8812155691495303E-2</v>
      </c>
      <c r="N137">
        <f t="shared" si="18"/>
        <v>2.536045446889279E-2</v>
      </c>
    </row>
    <row r="138" spans="1:14" x14ac:dyDescent="0.45">
      <c r="A138" s="1" t="s">
        <v>135</v>
      </c>
      <c r="B138" s="1"/>
      <c r="C138" s="2"/>
      <c r="D138" s="2">
        <v>37.9602</v>
      </c>
      <c r="E138" s="2">
        <v>37.887799999999999</v>
      </c>
      <c r="F138" s="2"/>
      <c r="G138" s="2">
        <v>416990</v>
      </c>
      <c r="H138" s="2">
        <v>1214221.5</v>
      </c>
      <c r="I138" t="e">
        <f t="shared" si="13"/>
        <v>#DIV/0!</v>
      </c>
      <c r="J138">
        <f t="shared" si="14"/>
        <v>10984.926317564186</v>
      </c>
      <c r="K138">
        <f t="shared" si="15"/>
        <v>32047.822782003706</v>
      </c>
      <c r="L138" t="e">
        <f t="shared" si="16"/>
        <v>#DIV/0!</v>
      </c>
      <c r="M138" t="e">
        <f t="shared" si="17"/>
        <v>#DIV/0!</v>
      </c>
      <c r="N138">
        <f t="shared" si="18"/>
        <v>3.761091218506607E-2</v>
      </c>
    </row>
    <row r="139" spans="1:14" x14ac:dyDescent="0.45">
      <c r="A139" s="1" t="s">
        <v>136</v>
      </c>
      <c r="B139" s="1"/>
      <c r="C139" s="2">
        <v>8.6441999999999997</v>
      </c>
      <c r="D139" s="2">
        <v>9.8954000000000004</v>
      </c>
      <c r="E139" s="2">
        <v>10.2262</v>
      </c>
      <c r="F139" s="2">
        <v>53309.011700000003</v>
      </c>
      <c r="G139" s="2">
        <v>216317.45310000001</v>
      </c>
      <c r="H139" s="2">
        <v>329200.75</v>
      </c>
      <c r="I139">
        <f t="shared" si="13"/>
        <v>6167.0266421415517</v>
      </c>
      <c r="J139">
        <f t="shared" si="14"/>
        <v>21860.405147846475</v>
      </c>
      <c r="K139">
        <f t="shared" si="15"/>
        <v>32191.894349807357</v>
      </c>
      <c r="L139">
        <f t="shared" si="16"/>
        <v>4.3084309780772267E-2</v>
      </c>
      <c r="M139">
        <f t="shared" si="17"/>
        <v>2.8404362661842431E-2</v>
      </c>
      <c r="N139">
        <f t="shared" si="18"/>
        <v>1.3435583843083743E-2</v>
      </c>
    </row>
    <row r="140" spans="1:14" x14ac:dyDescent="0.45">
      <c r="A140" s="1" t="s">
        <v>137</v>
      </c>
      <c r="B140" s="1"/>
      <c r="C140" s="2">
        <v>1.9079999999999999</v>
      </c>
      <c r="D140" s="2">
        <v>4.2233999999999998</v>
      </c>
      <c r="E140" s="2">
        <v>7.0446</v>
      </c>
      <c r="F140" s="2">
        <v>7033.5946999999996</v>
      </c>
      <c r="G140" s="2">
        <v>32137.535199999998</v>
      </c>
      <c r="H140" s="2">
        <v>87833.367199999993</v>
      </c>
      <c r="I140">
        <f t="shared" si="13"/>
        <v>3686.3703878406709</v>
      </c>
      <c r="J140">
        <f t="shared" si="14"/>
        <v>7609.3988729459679</v>
      </c>
      <c r="K140">
        <f t="shared" si="15"/>
        <v>12468.183743576639</v>
      </c>
      <c r="L140">
        <f t="shared" si="16"/>
        <v>2.4452231304322725E-2</v>
      </c>
      <c r="M140">
        <f t="shared" si="17"/>
        <v>2.0867935235381108E-2</v>
      </c>
      <c r="N140">
        <f t="shared" si="18"/>
        <v>1.7173238857428608E-2</v>
      </c>
    </row>
    <row r="141" spans="1:14" x14ac:dyDescent="0.45">
      <c r="A141" s="1" t="s">
        <v>138</v>
      </c>
      <c r="B141" s="1"/>
      <c r="C141" s="2"/>
      <c r="D141" s="2">
        <v>2.1013999999999999</v>
      </c>
      <c r="E141" s="2">
        <v>4.9813999999999998</v>
      </c>
      <c r="F141" s="2"/>
      <c r="G141" s="2">
        <v>6759.0048999999999</v>
      </c>
      <c r="H141" s="2">
        <v>32069.546900000001</v>
      </c>
      <c r="I141" t="e">
        <f t="shared" si="13"/>
        <v>#DIV/0!</v>
      </c>
      <c r="J141">
        <f t="shared" si="14"/>
        <v>3216.4294755877036</v>
      </c>
      <c r="K141">
        <f t="shared" si="15"/>
        <v>6437.8582125506891</v>
      </c>
      <c r="L141" t="e">
        <f t="shared" si="16"/>
        <v>#DIV/0!</v>
      </c>
      <c r="M141" t="e">
        <f t="shared" si="17"/>
        <v>#DIV/0!</v>
      </c>
      <c r="N141">
        <f t="shared" si="18"/>
        <v>2.4216996279556646E-2</v>
      </c>
    </row>
    <row r="142" spans="1:14" x14ac:dyDescent="0.45">
      <c r="A142" s="1" t="s">
        <v>139</v>
      </c>
      <c r="B142" s="1"/>
      <c r="C142" s="2"/>
      <c r="D142" s="2">
        <v>0.4763</v>
      </c>
      <c r="E142" s="2">
        <v>2.8321000000000001</v>
      </c>
      <c r="F142" s="2"/>
      <c r="G142" s="2">
        <v>33652.980499999998</v>
      </c>
      <c r="H142" s="2">
        <v>304382.5</v>
      </c>
      <c r="I142" t="e">
        <f t="shared" si="13"/>
        <v>#DIV/0!</v>
      </c>
      <c r="J142">
        <f t="shared" si="14"/>
        <v>70655.008398068443</v>
      </c>
      <c r="K142">
        <f t="shared" si="15"/>
        <v>107475.90127467251</v>
      </c>
      <c r="L142" t="e">
        <f t="shared" si="16"/>
        <v>#DIV/0!</v>
      </c>
      <c r="M142" t="e">
        <f t="shared" si="17"/>
        <v>#DIV/0!</v>
      </c>
      <c r="N142">
        <f t="shared" si="18"/>
        <v>1.4569167578814435E-2</v>
      </c>
    </row>
    <row r="143" spans="1:14" x14ac:dyDescent="0.45">
      <c r="A143" s="1" t="s">
        <v>140</v>
      </c>
      <c r="B143" s="1"/>
      <c r="C143" s="2">
        <v>18.672699999999999</v>
      </c>
      <c r="D143" s="2">
        <v>23.4892</v>
      </c>
      <c r="E143" s="2">
        <v>19.364599999999999</v>
      </c>
      <c r="F143" s="2">
        <v>46672.722699999998</v>
      </c>
      <c r="G143" s="2">
        <v>286234.28129999997</v>
      </c>
      <c r="H143" s="2">
        <v>543143.125</v>
      </c>
      <c r="I143">
        <f t="shared" si="13"/>
        <v>2499.5165509005124</v>
      </c>
      <c r="J143">
        <f t="shared" si="14"/>
        <v>12185.782457469815</v>
      </c>
      <c r="K143">
        <f t="shared" si="15"/>
        <v>28048.249124691447</v>
      </c>
      <c r="L143">
        <f t="shared" si="16"/>
        <v>5.4224844382495974E-2</v>
      </c>
      <c r="M143">
        <f t="shared" si="17"/>
        <v>4.183142545772367E-2</v>
      </c>
      <c r="N143">
        <f t="shared" si="18"/>
        <v>2.9163945592759477E-2</v>
      </c>
    </row>
    <row r="144" spans="1:14" x14ac:dyDescent="0.45">
      <c r="A144" s="1" t="s">
        <v>141</v>
      </c>
      <c r="B144" s="1"/>
      <c r="C144" s="2"/>
      <c r="D144" s="2">
        <v>147.5316</v>
      </c>
      <c r="E144" s="2">
        <v>145.8723</v>
      </c>
      <c r="F144" s="2"/>
      <c r="G144" s="2">
        <v>3265563.25</v>
      </c>
      <c r="H144" s="2">
        <v>4052184.5</v>
      </c>
      <c r="I144" t="e">
        <f t="shared" si="13"/>
        <v>#DIV/0!</v>
      </c>
      <c r="J144">
        <f t="shared" si="14"/>
        <v>22134.6697927766</v>
      </c>
      <c r="K144">
        <f t="shared" si="15"/>
        <v>27778.9854550864</v>
      </c>
      <c r="L144" t="e">
        <f t="shared" si="16"/>
        <v>#DIV/0!</v>
      </c>
      <c r="M144" t="e">
        <f t="shared" si="17"/>
        <v>#DIV/0!</v>
      </c>
      <c r="N144">
        <f t="shared" si="18"/>
        <v>7.8629820693827401E-3</v>
      </c>
    </row>
    <row r="145" spans="1:14" x14ac:dyDescent="0.45">
      <c r="A145" s="1" t="s">
        <v>142</v>
      </c>
      <c r="B145" s="1"/>
      <c r="C145" s="2">
        <v>3.0223</v>
      </c>
      <c r="D145" s="2">
        <v>7.2888999999999999</v>
      </c>
      <c r="E145" s="2">
        <v>12.627000000000001</v>
      </c>
      <c r="F145" s="2">
        <v>2421.0041999999999</v>
      </c>
      <c r="G145" s="2">
        <v>5720.3154000000004</v>
      </c>
      <c r="H145" s="2">
        <v>29437.9375</v>
      </c>
      <c r="I145">
        <f t="shared" si="13"/>
        <v>801.04695099758453</v>
      </c>
      <c r="J145">
        <f t="shared" si="14"/>
        <v>784.79817256376145</v>
      </c>
      <c r="K145">
        <f t="shared" si="15"/>
        <v>2331.3484992476438</v>
      </c>
      <c r="L145">
        <f t="shared" si="16"/>
        <v>-6.828661113157386E-4</v>
      </c>
      <c r="M145">
        <f t="shared" si="17"/>
        <v>1.8271400528373727E-2</v>
      </c>
      <c r="N145">
        <f t="shared" si="18"/>
        <v>3.825766346407744E-2</v>
      </c>
    </row>
    <row r="146" spans="1:14" x14ac:dyDescent="0.45">
      <c r="A146" s="1" t="s">
        <v>143</v>
      </c>
      <c r="B146" s="1"/>
      <c r="C146" s="2"/>
      <c r="D146" s="2">
        <v>16.233799999999999</v>
      </c>
      <c r="E146" s="2">
        <v>34.268500000000003</v>
      </c>
      <c r="F146" s="2"/>
      <c r="G146" s="2">
        <v>688736.5625</v>
      </c>
      <c r="H146" s="2">
        <v>1649509.25</v>
      </c>
      <c r="I146" t="e">
        <f t="shared" si="13"/>
        <v>#DIV/0!</v>
      </c>
      <c r="J146">
        <f t="shared" si="14"/>
        <v>42426.084003745273</v>
      </c>
      <c r="K146">
        <f t="shared" si="15"/>
        <v>48134.854166362689</v>
      </c>
      <c r="L146" t="e">
        <f t="shared" si="16"/>
        <v>#DIV/0!</v>
      </c>
      <c r="M146" t="e">
        <f t="shared" si="17"/>
        <v>#DIV/0!</v>
      </c>
      <c r="N146">
        <f t="shared" si="18"/>
        <v>4.3627018120573346E-3</v>
      </c>
    </row>
    <row r="147" spans="1:14" x14ac:dyDescent="0.45">
      <c r="A147" s="1" t="s">
        <v>144</v>
      </c>
      <c r="B147" s="1"/>
      <c r="C147" s="2"/>
      <c r="D147" s="2">
        <v>20.147600000000001</v>
      </c>
      <c r="E147" s="2">
        <v>42.813200000000002</v>
      </c>
      <c r="F147" s="2"/>
      <c r="G147" s="2">
        <v>41301.546900000001</v>
      </c>
      <c r="H147" s="2">
        <v>182462.5625</v>
      </c>
      <c r="I147" t="e">
        <f t="shared" si="13"/>
        <v>#DIV/0!</v>
      </c>
      <c r="J147">
        <f t="shared" si="14"/>
        <v>2049.948723421152</v>
      </c>
      <c r="K147">
        <f t="shared" si="15"/>
        <v>4261.8295876038228</v>
      </c>
      <c r="L147" t="e">
        <f t="shared" si="16"/>
        <v>#DIV/0!</v>
      </c>
      <c r="M147" t="e">
        <f t="shared" si="17"/>
        <v>#DIV/0!</v>
      </c>
      <c r="N147">
        <f t="shared" si="18"/>
        <v>2.5558529836806176E-2</v>
      </c>
    </row>
    <row r="148" spans="1:14" x14ac:dyDescent="0.45">
      <c r="A148" s="1" t="s">
        <v>145</v>
      </c>
      <c r="B148" s="1"/>
      <c r="C148" s="2">
        <v>3.2241</v>
      </c>
      <c r="D148" s="2">
        <v>7.5263</v>
      </c>
      <c r="E148" s="2">
        <v>16.296399999999998</v>
      </c>
      <c r="F148" s="2">
        <v>9145.7060999999994</v>
      </c>
      <c r="G148" s="2">
        <v>17213.218799999999</v>
      </c>
      <c r="H148" s="2">
        <v>54101.007799999999</v>
      </c>
      <c r="I148">
        <f t="shared" si="13"/>
        <v>2836.6694891597654</v>
      </c>
      <c r="J148">
        <f t="shared" si="14"/>
        <v>2287.0758274318055</v>
      </c>
      <c r="K148">
        <f t="shared" si="15"/>
        <v>3319.8134434599056</v>
      </c>
      <c r="L148">
        <f t="shared" si="16"/>
        <v>-7.152848353659369E-3</v>
      </c>
      <c r="M148">
        <f t="shared" si="17"/>
        <v>2.6692840201198997E-3</v>
      </c>
      <c r="N148">
        <f t="shared" si="18"/>
        <v>1.2932375304674615E-2</v>
      </c>
    </row>
    <row r="149" spans="1:14" x14ac:dyDescent="0.45">
      <c r="A149" s="1" t="s">
        <v>146</v>
      </c>
      <c r="B149" s="1"/>
      <c r="C149" s="2">
        <v>1.6446000000000001</v>
      </c>
      <c r="D149" s="2">
        <v>3.0129999999999999</v>
      </c>
      <c r="E149" s="2">
        <v>5.8042999999999996</v>
      </c>
      <c r="F149" s="2">
        <v>8494.6650000000009</v>
      </c>
      <c r="G149" s="2">
        <v>99293.429699999993</v>
      </c>
      <c r="H149" s="2">
        <v>484399.90629999997</v>
      </c>
      <c r="I149">
        <f t="shared" si="13"/>
        <v>5165.1860634804816</v>
      </c>
      <c r="J149">
        <f t="shared" si="14"/>
        <v>32955.004878858279</v>
      </c>
      <c r="K149">
        <f t="shared" si="15"/>
        <v>83455.353151973541</v>
      </c>
      <c r="L149">
        <f t="shared" si="16"/>
        <v>6.3721278767467027E-2</v>
      </c>
      <c r="M149">
        <f t="shared" si="17"/>
        <v>4.82884901934586E-2</v>
      </c>
      <c r="N149">
        <f t="shared" si="18"/>
        <v>3.2559114943964573E-2</v>
      </c>
    </row>
    <row r="150" spans="1:14" x14ac:dyDescent="0.45">
      <c r="A150" s="1" t="s">
        <v>147</v>
      </c>
      <c r="B150" s="1"/>
      <c r="C150" s="2"/>
      <c r="D150" s="2">
        <v>4.3197999999999999</v>
      </c>
      <c r="E150" s="2">
        <v>7.8132000000000001</v>
      </c>
      <c r="F150" s="2"/>
      <c r="G150" s="2">
        <v>8977.4639000000006</v>
      </c>
      <c r="H150" s="2">
        <v>14164.477500000001</v>
      </c>
      <c r="I150" t="e">
        <f t="shared" si="13"/>
        <v>#DIV/0!</v>
      </c>
      <c r="J150">
        <f t="shared" si="14"/>
        <v>2078.2128570767168</v>
      </c>
      <c r="K150">
        <f t="shared" si="15"/>
        <v>1812.8906849946245</v>
      </c>
      <c r="L150" t="e">
        <f t="shared" si="16"/>
        <v>#DIV/0!</v>
      </c>
      <c r="M150" t="e">
        <f t="shared" si="17"/>
        <v>#DIV/0!</v>
      </c>
      <c r="N150">
        <f t="shared" si="18"/>
        <v>-4.6987772911694092E-3</v>
      </c>
    </row>
    <row r="151" spans="1:14" x14ac:dyDescent="0.45">
      <c r="A151" s="1" t="s">
        <v>148</v>
      </c>
      <c r="B151" s="1"/>
      <c r="C151" s="2">
        <v>2.6311</v>
      </c>
      <c r="D151" s="2">
        <v>5.2701000000000002</v>
      </c>
      <c r="E151" s="2">
        <v>6.4535999999999998</v>
      </c>
      <c r="F151" s="2">
        <v>9963.2821999999996</v>
      </c>
      <c r="G151" s="2">
        <v>23236.476600000002</v>
      </c>
      <c r="H151" s="2">
        <v>53204.8125</v>
      </c>
      <c r="I151">
        <f t="shared" si="13"/>
        <v>3786.7364220288091</v>
      </c>
      <c r="J151">
        <f t="shared" si="14"/>
        <v>4409.1149314054765</v>
      </c>
      <c r="K151">
        <f t="shared" si="15"/>
        <v>8244.2067218296761</v>
      </c>
      <c r="L151">
        <f t="shared" si="16"/>
        <v>5.0852002214565317E-3</v>
      </c>
      <c r="M151">
        <f t="shared" si="17"/>
        <v>1.3273871546581884E-2</v>
      </c>
      <c r="N151">
        <f t="shared" si="18"/>
        <v>2.1815122932645759E-2</v>
      </c>
    </row>
    <row r="152" spans="1:14" x14ac:dyDescent="0.45">
      <c r="A152" s="1" t="s">
        <v>149</v>
      </c>
      <c r="B152" s="1"/>
      <c r="C152" s="2"/>
      <c r="D152" s="2">
        <v>9.5176999999999996</v>
      </c>
      <c r="E152" s="2">
        <v>6.9945000000000004</v>
      </c>
      <c r="F152" s="2"/>
      <c r="G152" s="2">
        <v>119526.3906</v>
      </c>
      <c r="H152" s="2">
        <v>123007.1094</v>
      </c>
      <c r="I152" t="e">
        <f t="shared" si="13"/>
        <v>#DIV/0!</v>
      </c>
      <c r="J152">
        <f t="shared" si="14"/>
        <v>12558.327179885897</v>
      </c>
      <c r="K152">
        <f t="shared" si="15"/>
        <v>17586.261977267852</v>
      </c>
      <c r="L152" t="e">
        <f t="shared" si="16"/>
        <v>#DIV/0!</v>
      </c>
      <c r="M152" t="e">
        <f t="shared" si="17"/>
        <v>#DIV/0!</v>
      </c>
      <c r="N152">
        <f t="shared" si="18"/>
        <v>1.1679194751731847E-2</v>
      </c>
    </row>
    <row r="153" spans="1:14" x14ac:dyDescent="0.45">
      <c r="A153" s="1" t="s">
        <v>150</v>
      </c>
      <c r="B153" s="1"/>
      <c r="C153" s="2"/>
      <c r="D153" s="2">
        <v>0.1192</v>
      </c>
      <c r="E153" s="2">
        <v>0.21510000000000001</v>
      </c>
      <c r="F153" s="2"/>
      <c r="G153" s="2">
        <v>321.95150000000001</v>
      </c>
      <c r="H153" s="2">
        <v>878.14120000000003</v>
      </c>
      <c r="I153" t="e">
        <f t="shared" si="13"/>
        <v>#DIV/0!</v>
      </c>
      <c r="J153">
        <f t="shared" si="14"/>
        <v>2700.935402684564</v>
      </c>
      <c r="K153">
        <f t="shared" si="15"/>
        <v>4082.4788470478848</v>
      </c>
      <c r="L153" t="e">
        <f t="shared" si="16"/>
        <v>#DIV/0!</v>
      </c>
      <c r="M153" t="e">
        <f t="shared" si="17"/>
        <v>#DIV/0!</v>
      </c>
      <c r="N153">
        <f t="shared" si="18"/>
        <v>1.4346985682806679E-2</v>
      </c>
    </row>
    <row r="154" spans="1:14" x14ac:dyDescent="0.45">
      <c r="A154" s="1" t="s">
        <v>151</v>
      </c>
      <c r="B154" s="1"/>
      <c r="C154" s="2"/>
      <c r="D154" s="2">
        <v>0.4052</v>
      </c>
      <c r="E154" s="2">
        <v>0.58140000000000003</v>
      </c>
      <c r="F154" s="2"/>
      <c r="G154" s="2">
        <v>4273.9966000000004</v>
      </c>
      <c r="H154" s="2">
        <v>8026.1864999999998</v>
      </c>
      <c r="I154" t="e">
        <f t="shared" si="13"/>
        <v>#DIV/0!</v>
      </c>
      <c r="J154">
        <f t="shared" si="14"/>
        <v>10547.869200394867</v>
      </c>
      <c r="K154">
        <f t="shared" si="15"/>
        <v>13804.930340557274</v>
      </c>
      <c r="L154" t="e">
        <f t="shared" si="16"/>
        <v>#DIV/0!</v>
      </c>
      <c r="M154" t="e">
        <f t="shared" si="17"/>
        <v>#DIV/0!</v>
      </c>
      <c r="N154">
        <f t="shared" si="18"/>
        <v>9.3225638427449908E-3</v>
      </c>
    </row>
    <row r="155" spans="1:14" x14ac:dyDescent="0.45">
      <c r="A155" s="1" t="s">
        <v>152</v>
      </c>
      <c r="B155" s="1"/>
      <c r="C155" s="2"/>
      <c r="D155" s="2">
        <v>5.2885</v>
      </c>
      <c r="E155" s="2">
        <v>5.4569999999999999</v>
      </c>
      <c r="F155" s="2"/>
      <c r="G155" s="2">
        <v>68438.820300000007</v>
      </c>
      <c r="H155" s="2">
        <v>153090.9688</v>
      </c>
      <c r="I155" t="e">
        <f t="shared" si="13"/>
        <v>#DIV/0!</v>
      </c>
      <c r="J155">
        <f t="shared" si="14"/>
        <v>12941.064630802686</v>
      </c>
      <c r="K155">
        <f t="shared" si="15"/>
        <v>28054.053289353127</v>
      </c>
      <c r="L155" t="e">
        <f t="shared" si="16"/>
        <v>#DIV/0!</v>
      </c>
      <c r="M155" t="e">
        <f t="shared" si="17"/>
        <v>#DIV/0!</v>
      </c>
      <c r="N155">
        <f t="shared" si="18"/>
        <v>2.7039365532825377E-2</v>
      </c>
    </row>
    <row r="156" spans="1:14" x14ac:dyDescent="0.45">
      <c r="A156" s="1" t="s">
        <v>153</v>
      </c>
      <c r="B156" s="1"/>
      <c r="C156" s="2"/>
      <c r="D156" s="2">
        <v>2.0064000000000002</v>
      </c>
      <c r="E156" s="2">
        <v>2.0787</v>
      </c>
      <c r="F156" s="2"/>
      <c r="G156" s="2">
        <v>38279.890599999999</v>
      </c>
      <c r="H156" s="2">
        <v>70660.039099999995</v>
      </c>
      <c r="I156" t="e">
        <f t="shared" si="13"/>
        <v>#DIV/0!</v>
      </c>
      <c r="J156">
        <f t="shared" si="14"/>
        <v>19078.892842902707</v>
      </c>
      <c r="K156">
        <f t="shared" si="15"/>
        <v>33992.417905421658</v>
      </c>
      <c r="L156" t="e">
        <f t="shared" si="16"/>
        <v>#DIV/0!</v>
      </c>
      <c r="M156" t="e">
        <f t="shared" si="17"/>
        <v>#DIV/0!</v>
      </c>
      <c r="N156">
        <f t="shared" si="18"/>
        <v>2.0115325191628619E-2</v>
      </c>
    </row>
    <row r="157" spans="1:14" x14ac:dyDescent="0.45">
      <c r="A157" s="1" t="s">
        <v>154</v>
      </c>
      <c r="B157" s="1"/>
      <c r="C157" s="2">
        <v>7.4916999999999998</v>
      </c>
      <c r="D157" s="2">
        <v>8.5673999999999992</v>
      </c>
      <c r="E157" s="2">
        <v>10.0364</v>
      </c>
      <c r="F157" s="2">
        <v>121910.6875</v>
      </c>
      <c r="G157" s="2">
        <v>288370.65629999997</v>
      </c>
      <c r="H157" s="2">
        <v>532053.6875</v>
      </c>
      <c r="I157">
        <f t="shared" si="13"/>
        <v>16272.76686199394</v>
      </c>
      <c r="J157">
        <f t="shared" si="14"/>
        <v>33659.062994607462</v>
      </c>
      <c r="K157">
        <f t="shared" si="15"/>
        <v>53012.403600892751</v>
      </c>
      <c r="L157">
        <f t="shared" si="16"/>
        <v>2.452215417149417E-2</v>
      </c>
      <c r="M157">
        <f t="shared" si="17"/>
        <v>2.0219201496014527E-2</v>
      </c>
      <c r="N157">
        <f t="shared" si="18"/>
        <v>1.5786887969817975E-2</v>
      </c>
    </row>
    <row r="158" spans="1:14" x14ac:dyDescent="0.45">
      <c r="A158" s="1" t="s">
        <v>155</v>
      </c>
      <c r="B158" s="1"/>
      <c r="C158" s="2"/>
      <c r="D158" s="2">
        <v>0.82240000000000002</v>
      </c>
      <c r="E158" s="2">
        <v>1.1480999999999999</v>
      </c>
      <c r="F158" s="2"/>
      <c r="G158" s="2">
        <v>4242.8921</v>
      </c>
      <c r="H158" s="2">
        <v>9667.1034999999993</v>
      </c>
      <c r="I158" t="e">
        <f t="shared" si="13"/>
        <v>#DIV/0!</v>
      </c>
      <c r="J158">
        <f t="shared" si="14"/>
        <v>5159.1586819066151</v>
      </c>
      <c r="K158">
        <f t="shared" si="15"/>
        <v>8420.0884069331933</v>
      </c>
      <c r="L158" t="e">
        <f t="shared" si="16"/>
        <v>#DIV/0!</v>
      </c>
      <c r="M158" t="e">
        <f t="shared" si="17"/>
        <v>#DIV/0!</v>
      </c>
      <c r="N158">
        <f t="shared" si="18"/>
        <v>1.7034733347216724E-2</v>
      </c>
    </row>
    <row r="159" spans="1:14" x14ac:dyDescent="0.45">
      <c r="A159" s="1" t="s">
        <v>156</v>
      </c>
      <c r="B159" s="1"/>
      <c r="C159" s="2"/>
      <c r="D159" s="2"/>
      <c r="E159" s="2">
        <v>4.24E-2</v>
      </c>
      <c r="F159" s="2"/>
      <c r="G159" s="2"/>
      <c r="H159" s="2">
        <v>657.22170000000006</v>
      </c>
      <c r="I159" t="e">
        <f t="shared" si="13"/>
        <v>#DIV/0!</v>
      </c>
      <c r="J159" t="e">
        <f t="shared" si="14"/>
        <v>#DIV/0!</v>
      </c>
      <c r="K159">
        <f t="shared" si="15"/>
        <v>15500.511792452831</v>
      </c>
      <c r="L159" t="e">
        <f t="shared" si="16"/>
        <v>#DIV/0!</v>
      </c>
      <c r="M159" t="e">
        <f t="shared" si="17"/>
        <v>#DIV/0!</v>
      </c>
      <c r="N159" t="e">
        <f t="shared" si="18"/>
        <v>#DIV/0!</v>
      </c>
    </row>
    <row r="160" spans="1:14" x14ac:dyDescent="0.45">
      <c r="A160" s="1" t="s">
        <v>157</v>
      </c>
      <c r="B160" s="1"/>
      <c r="C160" s="2">
        <v>4.0300000000000002E-2</v>
      </c>
      <c r="D160" s="2">
        <v>7.0599999999999996E-2</v>
      </c>
      <c r="E160" s="2">
        <v>9.7699999999999995E-2</v>
      </c>
      <c r="F160" s="2">
        <v>159.928</v>
      </c>
      <c r="G160" s="2">
        <v>862.09829999999999</v>
      </c>
      <c r="H160" s="2">
        <v>2438.3126999999999</v>
      </c>
      <c r="I160">
        <f t="shared" si="13"/>
        <v>3968.4367245657563</v>
      </c>
      <c r="J160">
        <f t="shared" si="14"/>
        <v>12211.024079320114</v>
      </c>
      <c r="K160">
        <f t="shared" si="15"/>
        <v>24957.141248720574</v>
      </c>
      <c r="L160">
        <f t="shared" si="16"/>
        <v>3.817624554477228E-2</v>
      </c>
      <c r="M160">
        <f t="shared" si="17"/>
        <v>3.1656635558110935E-2</v>
      </c>
      <c r="N160">
        <f t="shared" si="18"/>
        <v>2.4955292656891892E-2</v>
      </c>
    </row>
    <row r="161" spans="1:14" x14ac:dyDescent="0.45">
      <c r="A161" s="1" t="s">
        <v>158</v>
      </c>
      <c r="B161" s="1"/>
      <c r="C161" s="2">
        <v>4.5994999999999999</v>
      </c>
      <c r="D161" s="2">
        <v>12.446199999999999</v>
      </c>
      <c r="E161" s="2">
        <v>17.0701</v>
      </c>
      <c r="F161" s="2">
        <v>20519.195299999999</v>
      </c>
      <c r="G161" s="2">
        <v>92231.742199999993</v>
      </c>
      <c r="H161" s="2">
        <v>122563.8594</v>
      </c>
      <c r="I161">
        <f t="shared" si="13"/>
        <v>4461.1795412544843</v>
      </c>
      <c r="J161">
        <f t="shared" si="14"/>
        <v>7410.4338834343007</v>
      </c>
      <c r="K161">
        <f t="shared" si="15"/>
        <v>7180.0317162758274</v>
      </c>
      <c r="L161">
        <f t="shared" si="16"/>
        <v>1.7059742950840118E-2</v>
      </c>
      <c r="M161">
        <f t="shared" si="17"/>
        <v>8.0985596922036329E-3</v>
      </c>
      <c r="N161">
        <f t="shared" si="18"/>
        <v>-1.0885516147823848E-3</v>
      </c>
    </row>
    <row r="162" spans="1:14" x14ac:dyDescent="0.45">
      <c r="A162" s="1" t="s">
        <v>159</v>
      </c>
      <c r="B162" s="1"/>
      <c r="C162" s="2"/>
      <c r="D162" s="2">
        <v>1.21E-2</v>
      </c>
      <c r="E162" s="2">
        <v>3.8199999999999998E-2</v>
      </c>
      <c r="F162" s="2"/>
      <c r="G162" s="2">
        <v>105.50149999999999</v>
      </c>
      <c r="H162" s="2">
        <v>618.1173</v>
      </c>
      <c r="I162" t="e">
        <f t="shared" si="13"/>
        <v>#DIV/0!</v>
      </c>
      <c r="J162">
        <f t="shared" si="14"/>
        <v>8719.1322314049576</v>
      </c>
      <c r="K162">
        <f t="shared" si="15"/>
        <v>16181.081151832461</v>
      </c>
      <c r="L162" t="e">
        <f t="shared" si="16"/>
        <v>#DIV/0!</v>
      </c>
      <c r="M162" t="e">
        <f t="shared" si="17"/>
        <v>#DIV/0!</v>
      </c>
      <c r="N162">
        <f t="shared" si="18"/>
        <v>2.1550410100656947E-2</v>
      </c>
    </row>
    <row r="163" spans="1:14" x14ac:dyDescent="0.45">
      <c r="A163" s="1" t="s">
        <v>160</v>
      </c>
      <c r="B163" s="1"/>
      <c r="C163" s="2">
        <v>2.9740000000000002</v>
      </c>
      <c r="D163" s="2">
        <v>5.9633000000000003</v>
      </c>
      <c r="E163" s="2">
        <v>15.946899999999999</v>
      </c>
      <c r="F163" s="2">
        <v>3563.0805999999998</v>
      </c>
      <c r="G163" s="2">
        <v>5526.2318999999998</v>
      </c>
      <c r="H163" s="2">
        <v>24979.357400000001</v>
      </c>
      <c r="I163">
        <f t="shared" si="13"/>
        <v>1198.0768661735035</v>
      </c>
      <c r="J163">
        <f t="shared" si="14"/>
        <v>926.70700786477278</v>
      </c>
      <c r="K163">
        <f t="shared" si="15"/>
        <v>1566.408355228916</v>
      </c>
      <c r="L163">
        <f t="shared" si="16"/>
        <v>-8.5246403623808753E-3</v>
      </c>
      <c r="M163">
        <f t="shared" si="17"/>
        <v>4.5538572174803615E-3</v>
      </c>
      <c r="N163">
        <f t="shared" si="18"/>
        <v>1.8264908560673643E-2</v>
      </c>
    </row>
    <row r="164" spans="1:14" x14ac:dyDescent="0.45">
      <c r="A164" s="1" t="s">
        <v>161</v>
      </c>
      <c r="B164" s="1"/>
      <c r="C164" s="2">
        <v>1.5681</v>
      </c>
      <c r="D164" s="2">
        <v>3.7743000000000002</v>
      </c>
      <c r="E164" s="2">
        <v>8.0823999999999998</v>
      </c>
      <c r="F164" s="2">
        <v>1788.5515</v>
      </c>
      <c r="G164" s="2">
        <v>5799.8861999999999</v>
      </c>
      <c r="H164" s="2">
        <v>17448.5645</v>
      </c>
      <c r="I164">
        <f t="shared" si="13"/>
        <v>1140.5851029908806</v>
      </c>
      <c r="J164">
        <f t="shared" si="14"/>
        <v>1536.6786423972655</v>
      </c>
      <c r="K164">
        <f t="shared" si="15"/>
        <v>2158.8345664654066</v>
      </c>
      <c r="L164">
        <f t="shared" si="16"/>
        <v>9.9855926902749914E-3</v>
      </c>
      <c r="M164">
        <f t="shared" si="17"/>
        <v>1.087270224858905E-2</v>
      </c>
      <c r="N164">
        <f t="shared" si="18"/>
        <v>1.1791221748520098E-2</v>
      </c>
    </row>
    <row r="165" spans="1:14" x14ac:dyDescent="0.45">
      <c r="A165" s="1" t="s">
        <v>162</v>
      </c>
      <c r="B165" s="1"/>
      <c r="C165" s="2">
        <v>27.3597</v>
      </c>
      <c r="D165" s="2">
        <v>56.558199999999999</v>
      </c>
      <c r="E165" s="2">
        <v>69.625600000000006</v>
      </c>
      <c r="F165" s="2">
        <v>33348.660199999998</v>
      </c>
      <c r="G165" s="2">
        <v>379896.09379999997</v>
      </c>
      <c r="H165" s="2">
        <v>1229521.375</v>
      </c>
      <c r="I165">
        <f t="shared" si="13"/>
        <v>1218.8971443400328</v>
      </c>
      <c r="J165">
        <f t="shared" si="14"/>
        <v>6716.9056617784863</v>
      </c>
      <c r="K165">
        <f t="shared" si="15"/>
        <v>17659.041717414282</v>
      </c>
      <c r="L165">
        <f t="shared" si="16"/>
        <v>5.8538698191783922E-2</v>
      </c>
      <c r="M165">
        <f t="shared" si="17"/>
        <v>4.6352382069719811E-2</v>
      </c>
      <c r="N165">
        <f t="shared" si="18"/>
        <v>3.3893462229649618E-2</v>
      </c>
    </row>
    <row r="166" spans="1:14" x14ac:dyDescent="0.45">
      <c r="A166" s="1" t="s">
        <v>163</v>
      </c>
      <c r="B166" s="1"/>
      <c r="C166" s="2"/>
      <c r="D166" s="2">
        <v>5.2838000000000003</v>
      </c>
      <c r="E166" s="2">
        <v>9.3209999999999997</v>
      </c>
      <c r="F166" s="2"/>
      <c r="G166" s="2">
        <v>26685.642599999999</v>
      </c>
      <c r="H166" s="2">
        <v>40990.945299999999</v>
      </c>
      <c r="I166" t="e">
        <f t="shared" si="13"/>
        <v>#DIV/0!</v>
      </c>
      <c r="J166">
        <f t="shared" si="14"/>
        <v>5050.4641735114874</v>
      </c>
      <c r="K166">
        <f t="shared" si="15"/>
        <v>4397.6982405321314</v>
      </c>
      <c r="L166" t="e">
        <f t="shared" si="16"/>
        <v>#DIV/0!</v>
      </c>
      <c r="M166" t="e">
        <f t="shared" si="17"/>
        <v>#DIV/0!</v>
      </c>
      <c r="N166">
        <f t="shared" si="18"/>
        <v>-4.7610054056491657E-3</v>
      </c>
    </row>
    <row r="167" spans="1:14" x14ac:dyDescent="0.45">
      <c r="A167" s="1" t="s">
        <v>164</v>
      </c>
      <c r="B167" s="1"/>
      <c r="C167" s="2"/>
      <c r="D167" s="2">
        <v>3.6840000000000002</v>
      </c>
      <c r="E167" s="2">
        <v>5.9420999999999999</v>
      </c>
      <c r="F167" s="2"/>
      <c r="G167" s="2">
        <v>46047.585899999998</v>
      </c>
      <c r="H167" s="2">
        <v>154983.45310000001</v>
      </c>
      <c r="I167" t="e">
        <f t="shared" si="13"/>
        <v>#DIV/0!</v>
      </c>
      <c r="J167">
        <f t="shared" si="14"/>
        <v>12499.344706840389</v>
      </c>
      <c r="K167">
        <f t="shared" si="15"/>
        <v>26082.269416536245</v>
      </c>
      <c r="L167" t="e">
        <f t="shared" si="16"/>
        <v>#DIV/0!</v>
      </c>
      <c r="M167" t="e">
        <f t="shared" si="17"/>
        <v>#DIV/0!</v>
      </c>
      <c r="N167">
        <f t="shared" si="18"/>
        <v>2.5689235430161883E-2</v>
      </c>
    </row>
    <row r="168" spans="1:14" x14ac:dyDescent="0.45">
      <c r="A168" s="1" t="s">
        <v>165</v>
      </c>
      <c r="B168" s="1"/>
      <c r="C168" s="2">
        <v>0.8327</v>
      </c>
      <c r="D168" s="2">
        <v>1.2211000000000001</v>
      </c>
      <c r="E168" s="2">
        <v>1.395</v>
      </c>
      <c r="F168" s="2">
        <v>6487.7856000000002</v>
      </c>
      <c r="G168" s="2">
        <v>13787.257799999999</v>
      </c>
      <c r="H168" s="2">
        <v>35696.332000000002</v>
      </c>
      <c r="I168">
        <f t="shared" si="13"/>
        <v>7791.2640807013331</v>
      </c>
      <c r="J168">
        <f t="shared" si="14"/>
        <v>11290.850708377691</v>
      </c>
      <c r="K168">
        <f t="shared" si="15"/>
        <v>25588.768458781364</v>
      </c>
      <c r="L168">
        <f t="shared" si="16"/>
        <v>1.2443099422593473E-2</v>
      </c>
      <c r="M168">
        <f t="shared" si="17"/>
        <v>2.0359576995850226E-2</v>
      </c>
      <c r="N168">
        <f t="shared" si="18"/>
        <v>2.8614181327992538E-2</v>
      </c>
    </row>
    <row r="169" spans="1:14" x14ac:dyDescent="0.45">
      <c r="A169" s="1" t="s">
        <v>166</v>
      </c>
      <c r="B169" s="1"/>
      <c r="C169" s="2">
        <v>4.1132</v>
      </c>
      <c r="D169" s="2">
        <v>8.2424999999999997</v>
      </c>
      <c r="E169" s="2">
        <v>11.694699999999999</v>
      </c>
      <c r="F169" s="2">
        <v>8438.1581999999999</v>
      </c>
      <c r="G169" s="2">
        <v>46180.972699999998</v>
      </c>
      <c r="H169" s="2">
        <v>129398.25</v>
      </c>
      <c r="I169">
        <f t="shared" si="13"/>
        <v>2051.4825926286103</v>
      </c>
      <c r="J169">
        <f t="shared" si="14"/>
        <v>5602.7871034273585</v>
      </c>
      <c r="K169">
        <f t="shared" si="15"/>
        <v>11064.691697948645</v>
      </c>
      <c r="L169">
        <f t="shared" si="16"/>
        <v>3.4057152162644488E-2</v>
      </c>
      <c r="M169">
        <f t="shared" si="17"/>
        <v>2.8974474286217689E-2</v>
      </c>
      <c r="N169">
        <f t="shared" si="18"/>
        <v>2.3742820006051435E-2</v>
      </c>
    </row>
    <row r="170" spans="1:14" x14ac:dyDescent="0.45">
      <c r="A170" s="1" t="s">
        <v>167</v>
      </c>
      <c r="B170" s="1"/>
      <c r="C170" s="2">
        <v>27.521100000000001</v>
      </c>
      <c r="D170" s="2">
        <v>53.921799999999998</v>
      </c>
      <c r="E170" s="2">
        <v>83.429599999999994</v>
      </c>
      <c r="F170" s="2">
        <v>150595.48439999999</v>
      </c>
      <c r="G170" s="2">
        <v>647458.1875</v>
      </c>
      <c r="H170" s="2">
        <v>2242847</v>
      </c>
      <c r="I170">
        <f t="shared" si="13"/>
        <v>5472.000915661074</v>
      </c>
      <c r="J170">
        <f t="shared" si="14"/>
        <v>12007.354863895494</v>
      </c>
      <c r="K170">
        <f t="shared" si="15"/>
        <v>26883.108632907268</v>
      </c>
      <c r="L170">
        <f t="shared" si="16"/>
        <v>2.6541960598579273E-2</v>
      </c>
      <c r="M170">
        <f t="shared" si="17"/>
        <v>2.7347844332815674E-2</v>
      </c>
      <c r="N170">
        <f t="shared" si="18"/>
        <v>2.8182182923740751E-2</v>
      </c>
    </row>
    <row r="171" spans="1:14" x14ac:dyDescent="0.45">
      <c r="A171" s="1" t="s">
        <v>168</v>
      </c>
      <c r="B171" s="1"/>
      <c r="C171" s="2">
        <v>10.6677</v>
      </c>
      <c r="D171" s="2">
        <v>20.2789</v>
      </c>
      <c r="E171" s="2">
        <v>23.596</v>
      </c>
      <c r="F171" s="2">
        <v>19255.375</v>
      </c>
      <c r="G171" s="2">
        <v>304144.25</v>
      </c>
      <c r="H171" s="2">
        <v>1127988.75</v>
      </c>
      <c r="I171">
        <f t="shared" si="13"/>
        <v>1805.0165452721767</v>
      </c>
      <c r="J171">
        <f t="shared" si="14"/>
        <v>14998.064490677501</v>
      </c>
      <c r="K171">
        <f t="shared" si="15"/>
        <v>47804.235887438546</v>
      </c>
      <c r="L171">
        <f t="shared" si="16"/>
        <v>7.3128677986103563E-2</v>
      </c>
      <c r="M171">
        <f t="shared" si="17"/>
        <v>5.7105647735028686E-2</v>
      </c>
      <c r="N171">
        <f t="shared" si="18"/>
        <v>4.0781814704528241E-2</v>
      </c>
    </row>
    <row r="172" spans="1:14" x14ac:dyDescent="0.45">
      <c r="A172" s="1" t="s">
        <v>169</v>
      </c>
      <c r="B172" s="1"/>
      <c r="C172" s="2">
        <v>10.058</v>
      </c>
      <c r="D172" s="2">
        <v>24.523599999999998</v>
      </c>
      <c r="E172" s="2">
        <v>56.379899999999999</v>
      </c>
      <c r="F172" s="2">
        <v>8758.7821999999996</v>
      </c>
      <c r="G172" s="2">
        <v>27655.1895</v>
      </c>
      <c r="H172" s="2">
        <v>139809.57810000001</v>
      </c>
      <c r="I172">
        <f t="shared" si="13"/>
        <v>870.82742095844105</v>
      </c>
      <c r="J172">
        <f t="shared" si="14"/>
        <v>1127.6969735275409</v>
      </c>
      <c r="K172">
        <f t="shared" si="15"/>
        <v>2479.7769790297607</v>
      </c>
      <c r="L172">
        <f t="shared" si="16"/>
        <v>8.6535250455717083E-3</v>
      </c>
      <c r="M172">
        <f t="shared" si="17"/>
        <v>1.7895184515570595E-2</v>
      </c>
      <c r="N172">
        <f t="shared" si="18"/>
        <v>2.754463690058917E-2</v>
      </c>
    </row>
    <row r="173" spans="1:14" x14ac:dyDescent="0.45">
      <c r="A173" s="1" t="s">
        <v>170</v>
      </c>
      <c r="B173" s="1"/>
      <c r="C173" s="2">
        <v>7.0103999999999997</v>
      </c>
      <c r="D173" s="2">
        <v>17.354399999999998</v>
      </c>
      <c r="E173" s="2">
        <v>44.269599999999997</v>
      </c>
      <c r="F173" s="2">
        <v>6666.7808000000005</v>
      </c>
      <c r="G173" s="2">
        <v>14059.830099999999</v>
      </c>
      <c r="H173" s="2">
        <v>91112.75</v>
      </c>
      <c r="I173">
        <f t="shared" si="13"/>
        <v>950.98436608467432</v>
      </c>
      <c r="J173">
        <f t="shared" si="14"/>
        <v>810.15938897340163</v>
      </c>
      <c r="K173">
        <f t="shared" si="15"/>
        <v>2058.1335724741134</v>
      </c>
      <c r="L173">
        <f t="shared" si="16"/>
        <v>-5.3279763209311826E-3</v>
      </c>
      <c r="M173">
        <f t="shared" si="17"/>
        <v>1.3171707828590673E-2</v>
      </c>
      <c r="N173">
        <f t="shared" si="18"/>
        <v>3.267146206199234E-2</v>
      </c>
    </row>
    <row r="174" spans="1:14" x14ac:dyDescent="0.45">
      <c r="A174" s="1" t="s">
        <v>171</v>
      </c>
      <c r="B174" s="1"/>
      <c r="C174" s="2"/>
      <c r="D174" s="2">
        <v>51.463099999999997</v>
      </c>
      <c r="E174" s="2">
        <v>43.993600000000001</v>
      </c>
      <c r="F174" s="2"/>
      <c r="G174" s="2">
        <v>905352.3125</v>
      </c>
      <c r="H174" s="2">
        <v>574202.5625</v>
      </c>
      <c r="I174" t="e">
        <f t="shared" si="13"/>
        <v>#DIV/0!</v>
      </c>
      <c r="J174">
        <f t="shared" si="14"/>
        <v>17592.261494157952</v>
      </c>
      <c r="K174">
        <f t="shared" si="15"/>
        <v>13051.956705066192</v>
      </c>
      <c r="L174" t="e">
        <f t="shared" si="16"/>
        <v>#DIV/0!</v>
      </c>
      <c r="M174" t="e">
        <f t="shared" si="17"/>
        <v>#DIV/0!</v>
      </c>
      <c r="N174">
        <f t="shared" si="18"/>
        <v>-1.0241029378161737E-2</v>
      </c>
    </row>
    <row r="175" spans="1:14" x14ac:dyDescent="0.45">
      <c r="A175" s="1" t="s">
        <v>172</v>
      </c>
      <c r="B175" s="1"/>
      <c r="C175" s="2">
        <v>2.5185</v>
      </c>
      <c r="D175" s="2">
        <v>3.1095999999999999</v>
      </c>
      <c r="E175" s="2">
        <v>3.4617</v>
      </c>
      <c r="F175" s="2">
        <v>19347.154299999998</v>
      </c>
      <c r="G175" s="2">
        <v>31382.345700000002</v>
      </c>
      <c r="H175" s="2">
        <v>72155.945300000007</v>
      </c>
      <c r="I175">
        <f t="shared" si="13"/>
        <v>7682.0148104030168</v>
      </c>
      <c r="J175">
        <f t="shared" si="14"/>
        <v>10092.084416002059</v>
      </c>
      <c r="K175">
        <f t="shared" si="15"/>
        <v>20844.078140797876</v>
      </c>
      <c r="L175">
        <f t="shared" si="16"/>
        <v>9.1371423877897318E-3</v>
      </c>
      <c r="M175">
        <f t="shared" si="17"/>
        <v>1.7062368508274472E-2</v>
      </c>
      <c r="N175">
        <f t="shared" si="18"/>
        <v>2.5326381038492496E-2</v>
      </c>
    </row>
    <row r="176" spans="1:14" x14ac:dyDescent="0.45">
      <c r="A176" s="1" t="s">
        <v>173</v>
      </c>
      <c r="B176" s="1"/>
      <c r="C176" s="2">
        <v>184.6019</v>
      </c>
      <c r="D176" s="2">
        <v>252.12029999999999</v>
      </c>
      <c r="E176" s="2">
        <v>329.06490000000002</v>
      </c>
      <c r="F176" s="2">
        <v>3510944.75</v>
      </c>
      <c r="G176" s="2">
        <v>10087555</v>
      </c>
      <c r="H176" s="2">
        <v>20563592</v>
      </c>
      <c r="I176">
        <f t="shared" si="13"/>
        <v>19019.006575771971</v>
      </c>
      <c r="J176">
        <f t="shared" si="14"/>
        <v>40010.879726860556</v>
      </c>
      <c r="K176">
        <f t="shared" si="15"/>
        <v>62490.991898558612</v>
      </c>
      <c r="L176">
        <f t="shared" si="16"/>
        <v>2.5100256987082847E-2</v>
      </c>
      <c r="M176">
        <f t="shared" si="17"/>
        <v>2.0367068619823181E-2</v>
      </c>
      <c r="N176">
        <f t="shared" si="18"/>
        <v>1.5493663556054527E-2</v>
      </c>
    </row>
    <row r="177" spans="1:14" x14ac:dyDescent="0.45">
      <c r="A177" s="1" t="s">
        <v>174</v>
      </c>
      <c r="B177" s="1"/>
      <c r="C177" s="2"/>
      <c r="D177" s="2">
        <v>20.398299999999999</v>
      </c>
      <c r="E177" s="2">
        <v>32.981699999999996</v>
      </c>
      <c r="F177" s="2"/>
      <c r="G177" s="2">
        <v>115878.8594</v>
      </c>
      <c r="H177" s="2">
        <v>395524.28129999997</v>
      </c>
      <c r="I177" t="e">
        <f t="shared" si="13"/>
        <v>#DIV/0!</v>
      </c>
      <c r="J177">
        <f t="shared" si="14"/>
        <v>5680.8096459018643</v>
      </c>
      <c r="K177">
        <f t="shared" si="15"/>
        <v>11992.234520961625</v>
      </c>
      <c r="L177" t="e">
        <f t="shared" si="16"/>
        <v>#DIV/0!</v>
      </c>
      <c r="M177" t="e">
        <f t="shared" si="17"/>
        <v>#DIV/0!</v>
      </c>
      <c r="N177">
        <f t="shared" si="18"/>
        <v>2.6099098536095822E-2</v>
      </c>
    </row>
    <row r="178" spans="1:14" x14ac:dyDescent="0.45">
      <c r="A178" s="1" t="s">
        <v>175</v>
      </c>
      <c r="B178" s="1"/>
      <c r="C178" s="2"/>
      <c r="D178" s="2">
        <v>0.1075</v>
      </c>
      <c r="E178" s="2">
        <v>0.1106</v>
      </c>
      <c r="F178" s="2"/>
      <c r="G178" s="2">
        <v>579.48310000000004</v>
      </c>
      <c r="H178" s="2">
        <v>1165.5897</v>
      </c>
      <c r="I178" t="e">
        <f t="shared" si="13"/>
        <v>#DIV/0!</v>
      </c>
      <c r="J178">
        <f t="shared" si="14"/>
        <v>5390.5404651162798</v>
      </c>
      <c r="K178">
        <f t="shared" si="15"/>
        <v>10538.785714285714</v>
      </c>
      <c r="L178" t="e">
        <f t="shared" si="16"/>
        <v>#DIV/0!</v>
      </c>
      <c r="M178" t="e">
        <f t="shared" si="17"/>
        <v>#DIV/0!</v>
      </c>
      <c r="N178">
        <f t="shared" si="18"/>
        <v>2.3387104292347694E-2</v>
      </c>
    </row>
    <row r="179" spans="1:14" x14ac:dyDescent="0.45">
      <c r="A179" s="1" t="s">
        <v>176</v>
      </c>
      <c r="B179" s="1"/>
      <c r="C179" s="2">
        <v>8.0048999999999992</v>
      </c>
      <c r="D179" s="2">
        <v>19.6327</v>
      </c>
      <c r="E179" s="2">
        <v>28.515799999999999</v>
      </c>
      <c r="F179" s="2">
        <v>3518.7017000000001</v>
      </c>
      <c r="G179" s="2">
        <v>10852.583000000001</v>
      </c>
      <c r="H179" s="2">
        <v>6670.9561000000003</v>
      </c>
      <c r="I179">
        <f t="shared" si="13"/>
        <v>439.56847680795516</v>
      </c>
      <c r="J179">
        <f t="shared" si="14"/>
        <v>552.78097256108435</v>
      </c>
      <c r="K179">
        <f t="shared" si="15"/>
        <v>233.93894262128367</v>
      </c>
      <c r="L179">
        <f t="shared" si="16"/>
        <v>7.6681958597921707E-3</v>
      </c>
      <c r="M179">
        <f t="shared" si="17"/>
        <v>-1.0633456711138134E-2</v>
      </c>
      <c r="N179">
        <f t="shared" si="18"/>
        <v>-2.9216481722380672E-2</v>
      </c>
    </row>
    <row r="180" spans="1:14" x14ac:dyDescent="0.45">
      <c r="A180" s="1" t="s">
        <v>177</v>
      </c>
      <c r="B180" s="1"/>
      <c r="C180" s="2"/>
      <c r="D180" s="2">
        <v>1.7500000000000002E-2</v>
      </c>
      <c r="E180" s="2">
        <v>0.03</v>
      </c>
      <c r="F180" s="2"/>
      <c r="G180" s="2">
        <v>199.31370000000001</v>
      </c>
      <c r="H180" s="2">
        <v>1118.1772000000001</v>
      </c>
      <c r="I180" t="e">
        <f t="shared" si="13"/>
        <v>#DIV/0!</v>
      </c>
      <c r="J180">
        <f t="shared" si="14"/>
        <v>11389.354285714286</v>
      </c>
      <c r="K180">
        <f t="shared" si="15"/>
        <v>37272.573333333341</v>
      </c>
      <c r="L180" t="e">
        <f t="shared" si="16"/>
        <v>#DIV/0!</v>
      </c>
      <c r="M180" t="e">
        <f t="shared" si="17"/>
        <v>#DIV/0!</v>
      </c>
      <c r="N180">
        <f t="shared" si="18"/>
        <v>4.1729198399959033E-2</v>
      </c>
    </row>
    <row r="181" spans="1:14" x14ac:dyDescent="0.45">
      <c r="A181" s="1" t="s">
        <v>178</v>
      </c>
      <c r="B181" s="1"/>
      <c r="C181" s="2"/>
      <c r="D181" s="2">
        <v>67.988900000000001</v>
      </c>
      <c r="E181" s="2">
        <v>96.462100000000007</v>
      </c>
      <c r="F181" s="2"/>
      <c r="G181" s="2">
        <v>106851.28909999999</v>
      </c>
      <c r="H181" s="2">
        <v>741653.5625</v>
      </c>
      <c r="I181" t="e">
        <f t="shared" si="13"/>
        <v>#DIV/0!</v>
      </c>
      <c r="J181">
        <f t="shared" si="14"/>
        <v>1571.5990271941448</v>
      </c>
      <c r="K181">
        <f t="shared" si="15"/>
        <v>7688.5487927382874</v>
      </c>
      <c r="L181" t="e">
        <f t="shared" si="16"/>
        <v>#DIV/0!</v>
      </c>
      <c r="M181" t="e">
        <f t="shared" si="17"/>
        <v>#DIV/0!</v>
      </c>
      <c r="N181">
        <f t="shared" si="18"/>
        <v>5.6272449974631655E-2</v>
      </c>
    </row>
    <row r="182" spans="1:14" x14ac:dyDescent="0.45">
      <c r="A182" s="1" t="s">
        <v>179</v>
      </c>
      <c r="B182" s="1"/>
      <c r="C182" s="2"/>
      <c r="D182" s="2">
        <v>11.71</v>
      </c>
      <c r="E182" s="2">
        <v>29.161899999999999</v>
      </c>
      <c r="F182" s="2"/>
      <c r="G182" s="2">
        <v>30268.9395</v>
      </c>
      <c r="H182" s="2">
        <v>40069.593800000002</v>
      </c>
      <c r="I182" t="e">
        <f t="shared" si="13"/>
        <v>#DIV/0!</v>
      </c>
      <c r="J182">
        <f t="shared" si="14"/>
        <v>2584.8795473953883</v>
      </c>
      <c r="K182">
        <f t="shared" si="15"/>
        <v>1374.0392018352716</v>
      </c>
      <c r="L182" t="e">
        <f t="shared" si="16"/>
        <v>#DIV/0!</v>
      </c>
      <c r="M182" t="e">
        <f t="shared" si="17"/>
        <v>#DIV/0!</v>
      </c>
      <c r="N182">
        <f t="shared" si="18"/>
        <v>-2.1554791541186002E-2</v>
      </c>
    </row>
    <row r="183" spans="1:14" x14ac:dyDescent="0.45">
      <c r="A183" s="1" t="s">
        <v>180</v>
      </c>
      <c r="B183" s="1"/>
      <c r="C183" s="2">
        <v>16.903400000000001</v>
      </c>
      <c r="D183" s="2">
        <v>36.8005</v>
      </c>
      <c r="E183" s="2">
        <v>58.558300000000003</v>
      </c>
      <c r="F183" s="2">
        <v>134599.6563</v>
      </c>
      <c r="G183" s="2">
        <v>379781.625</v>
      </c>
      <c r="H183" s="2">
        <v>732851.625</v>
      </c>
      <c r="I183">
        <f t="shared" si="13"/>
        <v>7962.8747056805132</v>
      </c>
      <c r="J183">
        <f t="shared" si="14"/>
        <v>10320.012635697885</v>
      </c>
      <c r="K183">
        <f t="shared" si="15"/>
        <v>12514.906085046867</v>
      </c>
      <c r="L183">
        <f t="shared" si="16"/>
        <v>8.6806235127931952E-3</v>
      </c>
      <c r="M183">
        <f t="shared" si="17"/>
        <v>7.6926638020626825E-3</v>
      </c>
      <c r="N183">
        <f t="shared" si="18"/>
        <v>6.6716547950080862E-3</v>
      </c>
    </row>
    <row r="184" spans="1:14" x14ac:dyDescent="0.45">
      <c r="A184" s="1" t="s">
        <v>181</v>
      </c>
      <c r="B184" s="1"/>
      <c r="C184" s="2">
        <v>3.1985000000000001</v>
      </c>
      <c r="D184" s="2">
        <v>8.0367999999999995</v>
      </c>
      <c r="E184" s="2">
        <v>17.861000000000001</v>
      </c>
      <c r="F184" s="2">
        <v>7668.0293000000001</v>
      </c>
      <c r="G184" s="2">
        <v>16295.543</v>
      </c>
      <c r="H184" s="2">
        <v>56282.273399999998</v>
      </c>
      <c r="I184">
        <f t="shared" si="13"/>
        <v>2397.3829294982024</v>
      </c>
      <c r="J184">
        <f t="shared" si="14"/>
        <v>2027.6158421262194</v>
      </c>
      <c r="K184">
        <f t="shared" si="15"/>
        <v>3151.1266670399191</v>
      </c>
      <c r="L184">
        <f t="shared" si="16"/>
        <v>-5.5683408477953389E-3</v>
      </c>
      <c r="M184">
        <f t="shared" si="17"/>
        <v>4.6443511220448652E-3</v>
      </c>
      <c r="N184">
        <f t="shared" si="18"/>
        <v>1.5319588326771827E-2</v>
      </c>
    </row>
    <row r="185" spans="1:14" x14ac:dyDescent="0.45">
      <c r="A185" s="1" t="s">
        <v>182</v>
      </c>
      <c r="B185" s="1"/>
      <c r="C185" s="2">
        <v>3.8471000000000002</v>
      </c>
      <c r="D185" s="2">
        <v>10.432399999999999</v>
      </c>
      <c r="E185" s="2">
        <v>14.6455</v>
      </c>
      <c r="F185" s="2">
        <v>5830.4722000000002</v>
      </c>
      <c r="G185" s="2">
        <v>20731.287100000001</v>
      </c>
      <c r="H185" s="2">
        <v>42694.070299999999</v>
      </c>
      <c r="I185">
        <f t="shared" si="13"/>
        <v>1515.5499467131085</v>
      </c>
      <c r="J185">
        <f t="shared" si="14"/>
        <v>1987.2020915609066</v>
      </c>
      <c r="K185">
        <f t="shared" si="15"/>
        <v>2915.1664538595473</v>
      </c>
      <c r="L185">
        <f t="shared" si="16"/>
        <v>9.0725513867480068E-3</v>
      </c>
      <c r="M185">
        <f t="shared" si="17"/>
        <v>1.1148954991307303E-2</v>
      </c>
      <c r="N185">
        <f t="shared" si="18"/>
        <v>1.3301455055537259E-2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9527-E69C-47E9-A426-6FB888215067}">
  <dimension ref="A1:Q113"/>
  <sheetViews>
    <sheetView tabSelected="1" workbookViewId="0">
      <selection activeCell="P21" sqref="P21"/>
    </sheetView>
  </sheetViews>
  <sheetFormatPr defaultRowHeight="14.25" x14ac:dyDescent="0.45"/>
  <sheetData>
    <row r="1" spans="1:14" x14ac:dyDescent="0.45">
      <c r="B1" t="s">
        <v>185</v>
      </c>
      <c r="E1" t="s">
        <v>186</v>
      </c>
    </row>
    <row r="2" spans="1:14" x14ac:dyDescent="0.45">
      <c r="B2">
        <v>1960</v>
      </c>
      <c r="C2">
        <v>1990</v>
      </c>
      <c r="D2">
        <v>2019</v>
      </c>
      <c r="E2" t="s">
        <v>187</v>
      </c>
      <c r="F2" t="s">
        <v>188</v>
      </c>
      <c r="G2" t="s">
        <v>189</v>
      </c>
      <c r="I2" t="s">
        <v>190</v>
      </c>
      <c r="K2" t="s">
        <v>188</v>
      </c>
    </row>
    <row r="3" spans="1:14" ht="14.65" thickBot="1" x14ac:dyDescent="0.5">
      <c r="A3" t="s">
        <v>5</v>
      </c>
      <c r="B3">
        <v>13158.081739731428</v>
      </c>
      <c r="C3">
        <v>13716.758908233622</v>
      </c>
      <c r="D3">
        <v>21785.47901216372</v>
      </c>
      <c r="E3">
        <v>1.3870347907918301E-3</v>
      </c>
      <c r="F3">
        <v>8.5825101337348997E-3</v>
      </c>
      <c r="G3">
        <v>1.608051799336585E-2</v>
      </c>
    </row>
    <row r="4" spans="1:14" x14ac:dyDescent="0.45">
      <c r="A4" t="s">
        <v>8</v>
      </c>
      <c r="B4">
        <v>17696.397449856733</v>
      </c>
      <c r="C4">
        <v>32738.446016060752</v>
      </c>
      <c r="D4">
        <v>52205.047374936519</v>
      </c>
      <c r="E4">
        <v>2.0717999476985272E-2</v>
      </c>
      <c r="F4">
        <v>1.8505034749068283E-2</v>
      </c>
      <c r="G4">
        <v>1.6220809593668895E-2</v>
      </c>
      <c r="I4" s="6" t="s">
        <v>191</v>
      </c>
      <c r="J4" s="6"/>
    </row>
    <row r="5" spans="1:14" x14ac:dyDescent="0.45">
      <c r="A5" t="s">
        <v>9</v>
      </c>
      <c r="B5">
        <v>13843.302207561532</v>
      </c>
      <c r="C5">
        <v>35785.941208456861</v>
      </c>
      <c r="D5">
        <v>53234.839644448417</v>
      </c>
      <c r="E5">
        <v>3.2164912336666296E-2</v>
      </c>
      <c r="F5">
        <v>2.3091585327341679E-2</v>
      </c>
      <c r="G5">
        <v>1.3789309196635013E-2</v>
      </c>
      <c r="I5" s="3" t="s">
        <v>192</v>
      </c>
      <c r="J5" s="3">
        <v>1.5132775176443599E-2</v>
      </c>
    </row>
    <row r="6" spans="1:14" x14ac:dyDescent="0.45">
      <c r="A6" t="s">
        <v>11</v>
      </c>
      <c r="B6">
        <v>697.95552279591539</v>
      </c>
      <c r="C6">
        <v>1106.7687626401912</v>
      </c>
      <c r="D6">
        <v>802.27185055417772</v>
      </c>
      <c r="E6">
        <v>1.5486852184100952E-2</v>
      </c>
      <c r="F6">
        <v>2.3636727481011199E-3</v>
      </c>
      <c r="G6">
        <v>-1.1033592511222712E-2</v>
      </c>
      <c r="I6" s="3" t="s">
        <v>193</v>
      </c>
      <c r="J6" s="3">
        <v>2.2900088454078758E-4</v>
      </c>
    </row>
    <row r="7" spans="1:14" x14ac:dyDescent="0.45">
      <c r="A7" t="s">
        <v>12</v>
      </c>
      <c r="B7">
        <v>12673.348794083437</v>
      </c>
      <c r="C7">
        <v>31787.90973866986</v>
      </c>
      <c r="D7">
        <v>46285.503670066639</v>
      </c>
      <c r="E7">
        <v>3.1127460139948937E-2</v>
      </c>
      <c r="F7">
        <v>2.2197482173478944E-2</v>
      </c>
      <c r="G7">
        <v>1.3040949189111251E-2</v>
      </c>
      <c r="I7" s="3" t="s">
        <v>194</v>
      </c>
      <c r="J7" s="3">
        <v>-8.943210116518472E-3</v>
      </c>
    </row>
    <row r="8" spans="1:14" x14ac:dyDescent="0.45">
      <c r="A8" t="s">
        <v>13</v>
      </c>
      <c r="B8">
        <v>1098.461174822726</v>
      </c>
      <c r="C8">
        <v>1504.110454956312</v>
      </c>
      <c r="D8">
        <v>3315.929337694472</v>
      </c>
      <c r="E8">
        <v>1.0531449249298275E-2</v>
      </c>
      <c r="F8">
        <v>1.8902321596529825E-2</v>
      </c>
      <c r="G8">
        <v>2.7634820729639742E-2</v>
      </c>
      <c r="I8" s="3" t="s">
        <v>195</v>
      </c>
      <c r="J8" s="3">
        <v>1.4245825456490445E-2</v>
      </c>
    </row>
    <row r="9" spans="1:14" ht="14.65" thickBot="1" x14ac:dyDescent="0.5">
      <c r="A9" t="s">
        <v>14</v>
      </c>
      <c r="B9">
        <v>744.54799325594468</v>
      </c>
      <c r="C9">
        <v>965.75747361252979</v>
      </c>
      <c r="D9">
        <v>2045.3257551152972</v>
      </c>
      <c r="E9">
        <v>8.708884468000333E-3</v>
      </c>
      <c r="F9">
        <v>1.7275232757421266E-2</v>
      </c>
      <c r="G9">
        <v>2.6213534705518793E-2</v>
      </c>
      <c r="I9" s="4" t="s">
        <v>196</v>
      </c>
      <c r="J9" s="4">
        <v>111</v>
      </c>
    </row>
    <row r="10" spans="1:14" x14ac:dyDescent="0.45">
      <c r="A10" t="s">
        <v>15</v>
      </c>
      <c r="B10">
        <v>1521.3614470786347</v>
      </c>
      <c r="C10">
        <v>1469.6448949327339</v>
      </c>
      <c r="D10">
        <v>4698.8848099495726</v>
      </c>
      <c r="E10">
        <v>-1.1521630598894106E-3</v>
      </c>
      <c r="F10">
        <v>1.9297731090926362E-2</v>
      </c>
      <c r="G10">
        <v>4.0893482547394555E-2</v>
      </c>
    </row>
    <row r="11" spans="1:14" ht="14.65" thickBot="1" x14ac:dyDescent="0.5">
      <c r="A11" t="s">
        <v>23</v>
      </c>
      <c r="B11">
        <v>4499.0070845917189</v>
      </c>
      <c r="C11">
        <v>4452.9961105931707</v>
      </c>
      <c r="D11">
        <v>8468.8331900183275</v>
      </c>
      <c r="E11">
        <v>-3.4259368995603889E-4</v>
      </c>
      <c r="F11">
        <v>1.0778624740136911E-2</v>
      </c>
      <c r="G11">
        <v>2.2413547020562197E-2</v>
      </c>
      <c r="I11" t="s">
        <v>197</v>
      </c>
    </row>
    <row r="12" spans="1:14" x14ac:dyDescent="0.45">
      <c r="A12" t="s">
        <v>24</v>
      </c>
      <c r="B12">
        <v>4007.6590605175752</v>
      </c>
      <c r="C12">
        <v>10527.439175802936</v>
      </c>
      <c r="D12">
        <v>14414.244051750893</v>
      </c>
      <c r="E12">
        <v>3.2716380717784599E-2</v>
      </c>
      <c r="F12">
        <v>2.1932127204829399E-2</v>
      </c>
      <c r="G12">
        <v>1.0894496270639653E-2</v>
      </c>
      <c r="I12" s="5"/>
      <c r="J12" s="5" t="s">
        <v>202</v>
      </c>
      <c r="K12" s="5" t="s">
        <v>203</v>
      </c>
      <c r="L12" s="5" t="s">
        <v>204</v>
      </c>
      <c r="M12" s="5" t="s">
        <v>205</v>
      </c>
      <c r="N12" s="5" t="s">
        <v>206</v>
      </c>
    </row>
    <row r="13" spans="1:14" x14ac:dyDescent="0.45">
      <c r="A13" t="s">
        <v>25</v>
      </c>
      <c r="B13">
        <v>4143.8425806451614</v>
      </c>
      <c r="C13">
        <v>10397.029513223457</v>
      </c>
      <c r="D13">
        <v>11690.258536585368</v>
      </c>
      <c r="E13">
        <v>3.1138179536214006E-2</v>
      </c>
      <c r="F13">
        <v>1.7733926209340334E-2</v>
      </c>
      <c r="G13">
        <v>4.0507944358991743E-3</v>
      </c>
      <c r="I13" s="3" t="s">
        <v>198</v>
      </c>
      <c r="J13" s="3">
        <v>1</v>
      </c>
      <c r="K13" s="3">
        <v>5.0668536560050104E-6</v>
      </c>
      <c r="L13" s="3">
        <v>5.0668536560050104E-6</v>
      </c>
      <c r="M13" s="3">
        <v>2.4966813837398776E-2</v>
      </c>
      <c r="N13" s="3">
        <v>0.87474213739476814</v>
      </c>
    </row>
    <row r="14" spans="1:14" x14ac:dyDescent="0.45">
      <c r="A14" t="s">
        <v>28</v>
      </c>
      <c r="B14">
        <v>822.38565274395955</v>
      </c>
      <c r="C14">
        <v>8519.744327012746</v>
      </c>
      <c r="D14">
        <v>16690.04110778313</v>
      </c>
      <c r="E14">
        <v>8.1048141682360297E-2</v>
      </c>
      <c r="F14">
        <v>5.2347115372350927E-2</v>
      </c>
      <c r="G14">
        <v>2.345800952952537E-2</v>
      </c>
      <c r="I14" s="3" t="s">
        <v>199</v>
      </c>
      <c r="J14" s="3">
        <v>109</v>
      </c>
      <c r="K14" s="3">
        <v>2.2120846180110239E-2</v>
      </c>
      <c r="L14" s="3">
        <v>2.0294354293679117E-4</v>
      </c>
      <c r="M14" s="3"/>
      <c r="N14" s="3"/>
    </row>
    <row r="15" spans="1:14" ht="14.65" thickBot="1" x14ac:dyDescent="0.5">
      <c r="A15" t="s">
        <v>29</v>
      </c>
      <c r="B15">
        <v>1889.2777162629757</v>
      </c>
      <c r="C15">
        <v>1331.3745679980045</v>
      </c>
      <c r="D15">
        <v>960.6326392986598</v>
      </c>
      <c r="E15">
        <v>-1.1598304266182802E-2</v>
      </c>
      <c r="F15">
        <v>-1.1398233909264088E-2</v>
      </c>
      <c r="G15">
        <v>-1.1191221957773556E-2</v>
      </c>
      <c r="I15" s="4" t="s">
        <v>200</v>
      </c>
      <c r="J15" s="4">
        <v>110</v>
      </c>
      <c r="K15" s="4">
        <v>2.2125913033766244E-2</v>
      </c>
      <c r="L15" s="4"/>
      <c r="M15" s="4"/>
      <c r="N15" s="4"/>
    </row>
    <row r="16" spans="1:14" ht="14.65" thickBot="1" x14ac:dyDescent="0.5">
      <c r="A16" t="s">
        <v>30</v>
      </c>
      <c r="B16">
        <v>17293.200910240485</v>
      </c>
      <c r="C16">
        <v>35351.826166520827</v>
      </c>
      <c r="D16">
        <v>50097.224078479587</v>
      </c>
      <c r="E16">
        <v>2.4120867763557818E-2</v>
      </c>
      <c r="F16">
        <v>1.8191488556188462E-2</v>
      </c>
      <c r="G16">
        <v>1.2093771143007581E-2</v>
      </c>
    </row>
    <row r="17" spans="1:17" x14ac:dyDescent="0.45">
      <c r="A17" t="s">
        <v>31</v>
      </c>
      <c r="B17">
        <v>34262.172576293087</v>
      </c>
      <c r="C17">
        <v>60608.094785732537</v>
      </c>
      <c r="D17">
        <v>75454.204204204201</v>
      </c>
      <c r="E17">
        <v>1.91947810689439E-2</v>
      </c>
      <c r="F17">
        <v>1.3471012123464465E-2</v>
      </c>
      <c r="G17">
        <v>7.5836959310597862E-3</v>
      </c>
      <c r="I17" s="5"/>
      <c r="J17" s="5" t="s">
        <v>207</v>
      </c>
      <c r="K17" s="5" t="s">
        <v>195</v>
      </c>
      <c r="L17" s="5" t="s">
        <v>208</v>
      </c>
      <c r="M17" s="5" t="s">
        <v>209</v>
      </c>
      <c r="N17" s="5" t="s">
        <v>210</v>
      </c>
      <c r="O17" s="5" t="s">
        <v>211</v>
      </c>
      <c r="P17" s="5" t="s">
        <v>212</v>
      </c>
      <c r="Q17" s="5" t="s">
        <v>213</v>
      </c>
    </row>
    <row r="18" spans="1:17" x14ac:dyDescent="0.45">
      <c r="A18" t="s">
        <v>32</v>
      </c>
      <c r="B18">
        <v>5918.3736270672889</v>
      </c>
      <c r="C18">
        <v>9165.8488090036608</v>
      </c>
      <c r="D18">
        <v>23407.356416209368</v>
      </c>
      <c r="E18">
        <v>1.4687577986946199E-2</v>
      </c>
      <c r="F18">
        <v>2.3578573514583701E-2</v>
      </c>
      <c r="G18">
        <v>3.2858144806886536E-2</v>
      </c>
      <c r="I18" s="3" t="s">
        <v>201</v>
      </c>
      <c r="J18" s="3">
        <v>1.9854850793218456E-2</v>
      </c>
      <c r="K18" s="3">
        <v>1.8815240519490784E-3</v>
      </c>
      <c r="L18" s="3">
        <v>10.552536265827023</v>
      </c>
      <c r="M18" s="3">
        <v>2.3233881783589627E-18</v>
      </c>
      <c r="N18" s="3">
        <v>1.6125731291098122E-2</v>
      </c>
      <c r="O18" s="3">
        <v>2.3583970295338791E-2</v>
      </c>
      <c r="P18" s="3">
        <v>1.6125731291098122E-2</v>
      </c>
      <c r="Q18" s="3">
        <v>2.3583970295338791E-2</v>
      </c>
    </row>
    <row r="19" spans="1:17" ht="14.65" thickBot="1" x14ac:dyDescent="0.5">
      <c r="A19" t="s">
        <v>33</v>
      </c>
      <c r="B19">
        <v>1050.9126034821245</v>
      </c>
      <c r="C19">
        <v>2689.5367826064717</v>
      </c>
      <c r="D19">
        <v>14348.472506696791</v>
      </c>
      <c r="E19">
        <v>3.1819416983903226E-2</v>
      </c>
      <c r="F19">
        <v>4.5300938118628453E-2</v>
      </c>
      <c r="G19">
        <v>5.9432729327217881E-2</v>
      </c>
      <c r="I19" s="4" t="s">
        <v>214</v>
      </c>
      <c r="J19" s="4">
        <v>-3.7037882832527805E-8</v>
      </c>
      <c r="K19" s="4">
        <v>2.3440376981971949E-7</v>
      </c>
      <c r="L19" s="4">
        <v>-0.15800890429797154</v>
      </c>
      <c r="M19" s="4">
        <v>0.8747421373946519</v>
      </c>
      <c r="N19" s="4">
        <v>-5.016185340868863E-7</v>
      </c>
      <c r="O19" s="4">
        <v>4.2754276842183068E-7</v>
      </c>
      <c r="P19" s="4">
        <v>-5.016185340868863E-7</v>
      </c>
      <c r="Q19" s="4">
        <v>4.2754276842183068E-7</v>
      </c>
    </row>
    <row r="20" spans="1:17" x14ac:dyDescent="0.45">
      <c r="A20" t="s">
        <v>34</v>
      </c>
      <c r="B20">
        <v>2506.6849009295502</v>
      </c>
      <c r="C20">
        <v>3001.2574780501304</v>
      </c>
      <c r="D20">
        <v>4908.4142243306824</v>
      </c>
      <c r="E20">
        <v>6.0203913670804354E-3</v>
      </c>
      <c r="F20">
        <v>1.1454766690012885E-2</v>
      </c>
      <c r="G20">
        <v>1.7107427734615266E-2</v>
      </c>
    </row>
    <row r="21" spans="1:17" x14ac:dyDescent="0.45">
      <c r="A21" t="s">
        <v>35</v>
      </c>
      <c r="B21">
        <v>2572.0323019756447</v>
      </c>
      <c r="C21">
        <v>3032.4704119659427</v>
      </c>
      <c r="D21">
        <v>3612.9192546103786</v>
      </c>
      <c r="E21">
        <v>5.5044688711884948E-3</v>
      </c>
      <c r="F21">
        <v>5.7762752882171142E-3</v>
      </c>
      <c r="G21">
        <v>6.0575316589244199E-3</v>
      </c>
    </row>
    <row r="22" spans="1:17" x14ac:dyDescent="0.45">
      <c r="A22" t="s">
        <v>36</v>
      </c>
      <c r="B22">
        <v>2778.1777703512944</v>
      </c>
      <c r="C22">
        <v>1728.8047671327861</v>
      </c>
      <c r="D22">
        <v>1043.0910720746256</v>
      </c>
      <c r="E22">
        <v>-1.5687809053871016E-2</v>
      </c>
      <c r="F22">
        <v>-1.6466425684629971E-2</v>
      </c>
      <c r="G22">
        <v>-1.7271243041159345E-2</v>
      </c>
      <c r="I22" t="s">
        <v>190</v>
      </c>
      <c r="K22" t="s">
        <v>189</v>
      </c>
    </row>
    <row r="23" spans="1:17" ht="14.65" thickBot="1" x14ac:dyDescent="0.5">
      <c r="A23" t="s">
        <v>37</v>
      </c>
      <c r="B23">
        <v>1983.0448760884128</v>
      </c>
      <c r="C23">
        <v>4658.5735986761147</v>
      </c>
      <c r="D23">
        <v>3597.4722051853919</v>
      </c>
      <c r="E23">
        <v>2.8878314957318629E-2</v>
      </c>
      <c r="F23">
        <v>1.0146005771224598E-2</v>
      </c>
      <c r="G23">
        <v>-8.8734267989010185E-3</v>
      </c>
    </row>
    <row r="24" spans="1:17" x14ac:dyDescent="0.45">
      <c r="A24" t="s">
        <v>38</v>
      </c>
      <c r="B24">
        <v>4118.7254960820001</v>
      </c>
      <c r="C24">
        <v>7905.6157975506449</v>
      </c>
      <c r="D24">
        <v>13817.892893042032</v>
      </c>
      <c r="E24">
        <v>2.1972230730983533E-2</v>
      </c>
      <c r="F24">
        <v>2.0727494389563228E-2</v>
      </c>
      <c r="G24">
        <v>1.9441431458494751E-2</v>
      </c>
      <c r="I24" s="6" t="s">
        <v>191</v>
      </c>
      <c r="J24" s="6"/>
    </row>
    <row r="25" spans="1:17" x14ac:dyDescent="0.45">
      <c r="A25" t="s">
        <v>39</v>
      </c>
      <c r="B25">
        <v>1901.2756878158339</v>
      </c>
      <c r="C25">
        <v>3242.7854713313891</v>
      </c>
      <c r="D25">
        <v>3214.4818427547302</v>
      </c>
      <c r="E25">
        <v>1.7956228789463902E-2</v>
      </c>
      <c r="F25">
        <v>8.9404256036216267E-3</v>
      </c>
      <c r="G25">
        <v>-3.0224734154160604E-4</v>
      </c>
      <c r="I25" s="3" t="s">
        <v>192</v>
      </c>
      <c r="J25" s="3">
        <v>0.10607905605154765</v>
      </c>
    </row>
    <row r="26" spans="1:17" x14ac:dyDescent="0.45">
      <c r="A26" t="s">
        <v>40</v>
      </c>
      <c r="B26">
        <v>1545.6520854526959</v>
      </c>
      <c r="C26">
        <v>2930.1153846153843</v>
      </c>
      <c r="D26">
        <v>7438.8099654482621</v>
      </c>
      <c r="E26">
        <v>2.1548756041258388E-2</v>
      </c>
      <c r="F26">
        <v>2.6989400653039786E-2</v>
      </c>
      <c r="G26">
        <v>3.2648147773262304E-2</v>
      </c>
      <c r="I26" s="3" t="s">
        <v>193</v>
      </c>
      <c r="J26" s="3">
        <v>1.1252766132787388E-2</v>
      </c>
    </row>
    <row r="27" spans="1:17" x14ac:dyDescent="0.45">
      <c r="A27" t="s">
        <v>41</v>
      </c>
      <c r="B27">
        <v>5347.3460293564167</v>
      </c>
      <c r="C27">
        <v>9058.1346733346145</v>
      </c>
      <c r="D27">
        <v>18630.374772168951</v>
      </c>
      <c r="E27">
        <v>1.7723999952173886E-2</v>
      </c>
      <c r="F27">
        <v>2.1381183108232449E-2</v>
      </c>
      <c r="G27">
        <v>2.5178306232826353E-2</v>
      </c>
      <c r="I27" s="3" t="s">
        <v>194</v>
      </c>
      <c r="J27" s="3">
        <v>2.1816905927212172E-3</v>
      </c>
    </row>
    <row r="28" spans="1:17" x14ac:dyDescent="0.45">
      <c r="A28" t="s">
        <v>44</v>
      </c>
      <c r="B28">
        <v>3975.0950882712805</v>
      </c>
      <c r="C28">
        <v>20482.744390749049</v>
      </c>
      <c r="D28">
        <v>33042.944041450777</v>
      </c>
      <c r="E28">
        <v>5.6172091569805183E-2</v>
      </c>
      <c r="F28">
        <v>3.6546201874018136E-2</v>
      </c>
      <c r="G28">
        <v>1.6627245263189039E-2</v>
      </c>
      <c r="I28" s="3" t="s">
        <v>195</v>
      </c>
      <c r="J28" s="3">
        <v>1.5664353015265059E-2</v>
      </c>
    </row>
    <row r="29" spans="1:17" ht="14.65" thickBot="1" x14ac:dyDescent="0.5">
      <c r="A29" t="s">
        <v>46</v>
      </c>
      <c r="B29">
        <v>14927.561229187815</v>
      </c>
      <c r="C29">
        <v>35639.923343537324</v>
      </c>
      <c r="D29">
        <v>51654.962462732139</v>
      </c>
      <c r="E29">
        <v>2.9433420131816268E-2</v>
      </c>
      <c r="F29">
        <v>2.12631959174443E-2</v>
      </c>
      <c r="G29">
        <v>1.2879470131098358E-2</v>
      </c>
      <c r="I29" s="4" t="s">
        <v>196</v>
      </c>
      <c r="J29" s="4">
        <v>111</v>
      </c>
    </row>
    <row r="30" spans="1:17" x14ac:dyDescent="0.45">
      <c r="A30" t="s">
        <v>49</v>
      </c>
      <c r="B30">
        <v>16538.256081862412</v>
      </c>
      <c r="C30">
        <v>36222.081616774623</v>
      </c>
      <c r="D30">
        <v>53927.416673885549</v>
      </c>
      <c r="E30">
        <v>2.6477552412917715E-2</v>
      </c>
      <c r="F30">
        <v>2.0235279734800216E-2</v>
      </c>
      <c r="G30">
        <v>1.3817700397406929E-2</v>
      </c>
    </row>
    <row r="31" spans="1:17" ht="14.65" thickBot="1" x14ac:dyDescent="0.5">
      <c r="A31" t="s">
        <v>50</v>
      </c>
      <c r="B31">
        <v>2937.4496152325337</v>
      </c>
      <c r="C31">
        <v>5928.6180556529062</v>
      </c>
      <c r="D31">
        <v>18216.582083992922</v>
      </c>
      <c r="E31">
        <v>2.3684438772329397E-2</v>
      </c>
      <c r="F31">
        <v>3.1411913617864551E-2</v>
      </c>
      <c r="G31">
        <v>3.9467242597605701E-2</v>
      </c>
      <c r="I31" t="s">
        <v>197</v>
      </c>
    </row>
    <row r="32" spans="1:17" x14ac:dyDescent="0.45">
      <c r="A32" t="s">
        <v>51</v>
      </c>
      <c r="B32">
        <v>6475.87814740262</v>
      </c>
      <c r="C32">
        <v>8501.2382865727959</v>
      </c>
      <c r="D32">
        <v>11187.977753053787</v>
      </c>
      <c r="E32">
        <v>9.1121859449423415E-3</v>
      </c>
      <c r="F32">
        <v>9.3101155078625375E-3</v>
      </c>
      <c r="G32">
        <v>9.5149110817061011E-3</v>
      </c>
      <c r="I32" s="5"/>
      <c r="J32" s="5" t="s">
        <v>202</v>
      </c>
      <c r="K32" s="5" t="s">
        <v>203</v>
      </c>
      <c r="L32" s="5" t="s">
        <v>204</v>
      </c>
      <c r="M32" s="5" t="s">
        <v>205</v>
      </c>
      <c r="N32" s="5" t="s">
        <v>206</v>
      </c>
    </row>
    <row r="33" spans="1:17" x14ac:dyDescent="0.45">
      <c r="A33" t="s">
        <v>52</v>
      </c>
      <c r="B33">
        <v>4732.7702484100428</v>
      </c>
      <c r="C33">
        <v>8147.5427674984612</v>
      </c>
      <c r="D33">
        <v>11174.754260750446</v>
      </c>
      <c r="E33">
        <v>1.8271778809002104E-2</v>
      </c>
      <c r="F33">
        <v>1.4668343694687724E-2</v>
      </c>
      <c r="G33">
        <v>1.0954070552793294E-2</v>
      </c>
      <c r="I33" s="3" t="s">
        <v>198</v>
      </c>
      <c r="J33" s="3">
        <v>1</v>
      </c>
      <c r="K33" s="3">
        <v>3.0438653248088254E-4</v>
      </c>
      <c r="L33" s="3">
        <v>3.0438653248088254E-4</v>
      </c>
      <c r="M33" s="3">
        <v>1.2405106850984622</v>
      </c>
      <c r="N33" s="3">
        <v>0.26782267365143037</v>
      </c>
    </row>
    <row r="34" spans="1:17" x14ac:dyDescent="0.45">
      <c r="A34" t="s">
        <v>53</v>
      </c>
      <c r="B34">
        <v>1876.8049249767196</v>
      </c>
      <c r="C34">
        <v>6340.6728482484032</v>
      </c>
      <c r="D34">
        <v>12826.111859871839</v>
      </c>
      <c r="E34">
        <v>4.1415107867864398E-2</v>
      </c>
      <c r="F34">
        <v>3.3111150491538011E-2</v>
      </c>
      <c r="G34">
        <v>2.459052102965642E-2</v>
      </c>
      <c r="I34" s="3" t="s">
        <v>199</v>
      </c>
      <c r="J34" s="3">
        <v>109</v>
      </c>
      <c r="K34" s="3">
        <v>2.6745543137165942E-2</v>
      </c>
      <c r="L34" s="3">
        <v>2.4537195538684351E-4</v>
      </c>
      <c r="M34" s="3"/>
      <c r="N34" s="3"/>
    </row>
    <row r="35" spans="1:17" ht="14.65" thickBot="1" x14ac:dyDescent="0.5">
      <c r="A35" t="s">
        <v>54</v>
      </c>
      <c r="B35">
        <v>8581.5529597556742</v>
      </c>
      <c r="C35">
        <v>26924.902748549201</v>
      </c>
      <c r="D35">
        <v>40574.35200955136</v>
      </c>
      <c r="E35">
        <v>3.8850233847763427E-2</v>
      </c>
      <c r="F35">
        <v>2.6680588667251204E-2</v>
      </c>
      <c r="G35">
        <v>1.4241300638719867E-2</v>
      </c>
      <c r="I35" s="4" t="s">
        <v>200</v>
      </c>
      <c r="J35" s="4">
        <v>110</v>
      </c>
      <c r="K35" s="4">
        <v>2.7049929669646824E-2</v>
      </c>
      <c r="L35" s="4"/>
      <c r="M35" s="4"/>
      <c r="N35" s="4"/>
    </row>
    <row r="36" spans="1:17" ht="14.65" thickBot="1" x14ac:dyDescent="0.5">
      <c r="A36" t="s">
        <v>56</v>
      </c>
      <c r="B36">
        <v>667.87372075160806</v>
      </c>
      <c r="C36">
        <v>767.09103761075346</v>
      </c>
      <c r="D36">
        <v>2225.5541757711321</v>
      </c>
      <c r="E36">
        <v>4.6275532921817852E-3</v>
      </c>
      <c r="F36">
        <v>2.0610576710066164E-2</v>
      </c>
      <c r="G36">
        <v>3.741237156253252E-2</v>
      </c>
    </row>
    <row r="37" spans="1:17" x14ac:dyDescent="0.45">
      <c r="A37" t="s">
        <v>57</v>
      </c>
      <c r="B37">
        <v>10779.835595436714</v>
      </c>
      <c r="C37">
        <v>30282.802429846684</v>
      </c>
      <c r="D37">
        <v>44832.511821698419</v>
      </c>
      <c r="E37">
        <v>3.5029665554171086E-2</v>
      </c>
      <c r="F37">
        <v>2.4451027273755033E-2</v>
      </c>
      <c r="G37">
        <v>1.3621371841408658E-2</v>
      </c>
      <c r="I37" s="5"/>
      <c r="J37" s="5" t="s">
        <v>207</v>
      </c>
      <c r="K37" s="5" t="s">
        <v>195</v>
      </c>
      <c r="L37" s="5" t="s">
        <v>208</v>
      </c>
      <c r="M37" s="5" t="s">
        <v>209</v>
      </c>
      <c r="N37" s="5" t="s">
        <v>210</v>
      </c>
      <c r="O37" s="5" t="s">
        <v>211</v>
      </c>
      <c r="P37" s="5" t="s">
        <v>212</v>
      </c>
      <c r="Q37" s="5" t="s">
        <v>213</v>
      </c>
    </row>
    <row r="38" spans="1:17" x14ac:dyDescent="0.45">
      <c r="A38" t="s">
        <v>58</v>
      </c>
      <c r="B38">
        <v>4558.4717557251906</v>
      </c>
      <c r="C38">
        <v>8605.1708756519347</v>
      </c>
      <c r="D38">
        <v>13532.576629213483</v>
      </c>
      <c r="E38">
        <v>2.1405066298717967E-2</v>
      </c>
      <c r="F38">
        <v>1.8613698424823744E-2</v>
      </c>
      <c r="G38">
        <v>1.5734103791369192E-2</v>
      </c>
      <c r="I38" s="3" t="s">
        <v>201</v>
      </c>
      <c r="J38" s="3">
        <v>2.0618129751008032E-2</v>
      </c>
      <c r="K38" s="3">
        <v>2.0193793691458892E-3</v>
      </c>
      <c r="L38" s="3">
        <v>10.210131917772646</v>
      </c>
      <c r="M38" s="3">
        <v>1.4102215399010338E-17</v>
      </c>
      <c r="N38" s="3">
        <v>1.6615785491916307E-2</v>
      </c>
      <c r="O38" s="3">
        <v>2.4620474010099758E-2</v>
      </c>
      <c r="P38" s="3">
        <v>1.6615785491916307E-2</v>
      </c>
      <c r="Q38" s="3">
        <v>2.4620474010099758E-2</v>
      </c>
    </row>
    <row r="39" spans="1:17" ht="14.65" thickBot="1" x14ac:dyDescent="0.5">
      <c r="A39" t="s">
        <v>59</v>
      </c>
      <c r="B39">
        <v>12699.275032014637</v>
      </c>
      <c r="C39">
        <v>32452.037581758268</v>
      </c>
      <c r="D39">
        <v>44027.998016367928</v>
      </c>
      <c r="E39">
        <v>3.1768112026242745E-2</v>
      </c>
      <c r="F39">
        <v>2.1296150776928702E-2</v>
      </c>
      <c r="G39">
        <v>1.0574920533562793E-2</v>
      </c>
      <c r="I39" s="4" t="s">
        <v>214</v>
      </c>
      <c r="J39" s="4">
        <v>-1.2564742918525845E-7</v>
      </c>
      <c r="K39" s="4">
        <v>1.1281149442777251E-7</v>
      </c>
      <c r="L39" s="4">
        <v>-1.1137821533399164</v>
      </c>
      <c r="M39" s="4">
        <v>0.2678226736514232</v>
      </c>
      <c r="N39" s="4">
        <v>-3.4923614360969231E-7</v>
      </c>
      <c r="O39" s="4">
        <v>9.7941285239175388E-8</v>
      </c>
      <c r="P39" s="4">
        <v>-3.4923614360969231E-7</v>
      </c>
      <c r="Q39" s="4">
        <v>9.7941285239175388E-8</v>
      </c>
    </row>
    <row r="40" spans="1:17" x14ac:dyDescent="0.45">
      <c r="A40" t="s">
        <v>60</v>
      </c>
      <c r="B40">
        <v>5757.7382537196554</v>
      </c>
      <c r="C40">
        <v>18736.283938915221</v>
      </c>
      <c r="D40">
        <v>14734.554450888336</v>
      </c>
      <c r="E40">
        <v>4.011426183963418E-2</v>
      </c>
      <c r="F40">
        <v>1.6053781312329596E-2</v>
      </c>
      <c r="G40">
        <v>-8.2508281163263808E-3</v>
      </c>
    </row>
    <row r="41" spans="1:17" x14ac:dyDescent="0.45">
      <c r="A41" t="s">
        <v>61</v>
      </c>
      <c r="B41">
        <v>14951.962224443727</v>
      </c>
      <c r="C41">
        <v>29721.58410694783</v>
      </c>
      <c r="D41">
        <v>44671.794989500995</v>
      </c>
      <c r="E41">
        <v>2.3165274453471607E-2</v>
      </c>
      <c r="F41">
        <v>1.8723979478376007E-2</v>
      </c>
      <c r="G41">
        <v>1.4149822522454336E-2</v>
      </c>
    </row>
    <row r="42" spans="1:17" x14ac:dyDescent="0.45">
      <c r="A42" t="s">
        <v>63</v>
      </c>
      <c r="B42">
        <v>2855.973973395026</v>
      </c>
      <c r="C42">
        <v>2395.5735888393251</v>
      </c>
      <c r="D42">
        <v>5503.7299188964398</v>
      </c>
      <c r="E42">
        <v>-5.8425400908679315E-3</v>
      </c>
      <c r="F42">
        <v>1.1180910399754884E-2</v>
      </c>
      <c r="G42">
        <v>2.9098188467528097E-2</v>
      </c>
    </row>
    <row r="43" spans="1:17" x14ac:dyDescent="0.45">
      <c r="A43" t="s">
        <v>64</v>
      </c>
      <c r="B43">
        <v>1566.7883617816676</v>
      </c>
      <c r="C43">
        <v>1494.1080396077011</v>
      </c>
      <c r="D43">
        <v>2567.981019794538</v>
      </c>
      <c r="E43">
        <v>-1.5820304351154002E-3</v>
      </c>
      <c r="F43">
        <v>8.4096061055924931E-3</v>
      </c>
      <c r="G43">
        <v>1.8851016296757006E-2</v>
      </c>
    </row>
    <row r="44" spans="1:17" x14ac:dyDescent="0.45">
      <c r="A44" t="s">
        <v>65</v>
      </c>
      <c r="B44">
        <v>2622.7106433442041</v>
      </c>
      <c r="C44">
        <v>2394.5502302218501</v>
      </c>
      <c r="D44">
        <v>2360.6246965114792</v>
      </c>
      <c r="E44">
        <v>-3.0291681749194943E-3</v>
      </c>
      <c r="F44">
        <v>-1.782851095950666E-3</v>
      </c>
      <c r="G44">
        <v>-4.9191800281389586E-4</v>
      </c>
    </row>
    <row r="45" spans="1:17" x14ac:dyDescent="0.45">
      <c r="A45" t="s">
        <v>66</v>
      </c>
      <c r="B45">
        <v>1979.3316217372701</v>
      </c>
      <c r="C45">
        <v>1761.3179534502206</v>
      </c>
      <c r="D45">
        <v>1960.5211619553334</v>
      </c>
      <c r="E45">
        <v>-3.8823393892130076E-3</v>
      </c>
      <c r="F45">
        <v>-1.6183243058542907E-4</v>
      </c>
      <c r="G45">
        <v>3.701591646725122E-3</v>
      </c>
    </row>
    <row r="46" spans="1:17" x14ac:dyDescent="0.45">
      <c r="A46" t="s">
        <v>67</v>
      </c>
      <c r="B46">
        <v>2374.4122582998907</v>
      </c>
      <c r="C46">
        <v>3303.2309160305344</v>
      </c>
      <c r="D46">
        <v>20985.484070796458</v>
      </c>
      <c r="E46">
        <v>1.1065815449895489E-2</v>
      </c>
      <c r="F46">
        <v>3.7624096167897081E-2</v>
      </c>
      <c r="G46">
        <v>6.5832521122427767E-2</v>
      </c>
    </row>
    <row r="47" spans="1:17" x14ac:dyDescent="0.45">
      <c r="A47" t="s">
        <v>68</v>
      </c>
      <c r="B47">
        <v>7240.6783180987204</v>
      </c>
      <c r="C47">
        <v>22017.229366321139</v>
      </c>
      <c r="D47">
        <v>27640.542206521219</v>
      </c>
      <c r="E47">
        <v>3.7766021910792036E-2</v>
      </c>
      <c r="F47">
        <v>2.2964264839418824E-2</v>
      </c>
      <c r="G47">
        <v>7.8742301542220616E-3</v>
      </c>
    </row>
    <row r="48" spans="1:17" x14ac:dyDescent="0.45">
      <c r="A48" t="s">
        <v>70</v>
      </c>
      <c r="B48">
        <v>3376.7094239641865</v>
      </c>
      <c r="C48">
        <v>5155.7305101578186</v>
      </c>
      <c r="D48">
        <v>7742.2965901657999</v>
      </c>
      <c r="E48">
        <v>1.4206876063629137E-2</v>
      </c>
      <c r="F48">
        <v>1.4163718593353192E-2</v>
      </c>
      <c r="G48">
        <v>1.4119074867004588E-2</v>
      </c>
    </row>
    <row r="49" spans="1:7" x14ac:dyDescent="0.45">
      <c r="A49" t="s">
        <v>72</v>
      </c>
      <c r="B49">
        <v>4421.1285035788351</v>
      </c>
      <c r="C49">
        <v>23649.458684683737</v>
      </c>
      <c r="D49">
        <v>49821.489806621656</v>
      </c>
      <c r="E49">
        <v>5.7489999159697991E-2</v>
      </c>
      <c r="F49">
        <v>4.1905990684317329E-2</v>
      </c>
      <c r="G49">
        <v>2.6026235204420933E-2</v>
      </c>
    </row>
    <row r="50" spans="1:7" x14ac:dyDescent="0.45">
      <c r="A50" t="s">
        <v>73</v>
      </c>
      <c r="B50">
        <v>3091.8083311637592</v>
      </c>
      <c r="C50">
        <v>3792.805723165096</v>
      </c>
      <c r="D50">
        <v>5506.5447614943414</v>
      </c>
      <c r="E50">
        <v>6.8349155237246162E-3</v>
      </c>
      <c r="F50">
        <v>9.8307395696015654E-3</v>
      </c>
      <c r="G50">
        <v>1.2939248618990762E-2</v>
      </c>
    </row>
    <row r="51" spans="1:7" x14ac:dyDescent="0.45">
      <c r="A51" t="s">
        <v>75</v>
      </c>
      <c r="B51">
        <v>2382.2987050510887</v>
      </c>
      <c r="C51">
        <v>2114.6590318134672</v>
      </c>
      <c r="D51">
        <v>1621.1804565350569</v>
      </c>
      <c r="E51">
        <v>-3.9645297121936318E-3</v>
      </c>
      <c r="F51">
        <v>-6.5026858281215238E-3</v>
      </c>
      <c r="G51">
        <v>-9.1215584988587617E-3</v>
      </c>
    </row>
    <row r="52" spans="1:7" x14ac:dyDescent="0.45">
      <c r="A52" t="s">
        <v>77</v>
      </c>
      <c r="B52">
        <v>1561.7046341282694</v>
      </c>
      <c r="C52">
        <v>4251.842013667766</v>
      </c>
      <c r="D52">
        <v>11493.626249696998</v>
      </c>
      <c r="E52">
        <v>3.3949372551844048E-2</v>
      </c>
      <c r="F52">
        <v>3.4409526055094508E-2</v>
      </c>
      <c r="G52">
        <v>3.4885762424700761E-2</v>
      </c>
    </row>
    <row r="53" spans="1:7" x14ac:dyDescent="0.45">
      <c r="A53" t="s">
        <v>78</v>
      </c>
      <c r="B53">
        <v>1002.5485677230621</v>
      </c>
      <c r="C53">
        <v>1810.5468557657141</v>
      </c>
      <c r="D53">
        <v>6705.8933219400396</v>
      </c>
      <c r="E53">
        <v>1.9898167786692511E-2</v>
      </c>
      <c r="F53">
        <v>3.2735256707036253E-2</v>
      </c>
      <c r="G53">
        <v>4.6185057610368618E-2</v>
      </c>
    </row>
    <row r="54" spans="1:7" x14ac:dyDescent="0.45">
      <c r="A54" t="s">
        <v>79</v>
      </c>
      <c r="B54">
        <v>10589.088932664758</v>
      </c>
      <c r="C54">
        <v>29263.432282320773</v>
      </c>
      <c r="D54">
        <v>96812.218392217095</v>
      </c>
      <c r="E54">
        <v>3.4464414518552422E-2</v>
      </c>
      <c r="F54">
        <v>3.8219899565889781E-2</v>
      </c>
      <c r="G54">
        <v>4.2119231784815581E-2</v>
      </c>
    </row>
    <row r="55" spans="1:7" x14ac:dyDescent="0.45">
      <c r="A55" t="s">
        <v>80</v>
      </c>
      <c r="B55">
        <v>11680.373965641937</v>
      </c>
      <c r="C55">
        <v>8073.2313868949832</v>
      </c>
      <c r="D55">
        <v>12079.871408774645</v>
      </c>
      <c r="E55">
        <v>-1.2236391409455205E-2</v>
      </c>
      <c r="F55">
        <v>5.701718588777549E-4</v>
      </c>
      <c r="G55">
        <v>1.3993093486140529E-2</v>
      </c>
    </row>
    <row r="56" spans="1:7" x14ac:dyDescent="0.45">
      <c r="A56" t="s">
        <v>82</v>
      </c>
      <c r="B56">
        <v>11408.558773424191</v>
      </c>
      <c r="C56">
        <v>29996.019215686276</v>
      </c>
      <c r="D56">
        <v>52021.709144542772</v>
      </c>
      <c r="E56">
        <v>3.2748155437599236E-2</v>
      </c>
      <c r="F56">
        <v>2.6050435461316246E-2</v>
      </c>
      <c r="G56">
        <v>1.9167465747758961E-2</v>
      </c>
    </row>
    <row r="57" spans="1:7" x14ac:dyDescent="0.45">
      <c r="A57" t="s">
        <v>83</v>
      </c>
      <c r="B57">
        <v>9403.9886763359518</v>
      </c>
      <c r="C57">
        <v>22788.530707670172</v>
      </c>
      <c r="D57">
        <v>40383.059546446937</v>
      </c>
      <c r="E57">
        <v>2.9943673465516296E-2</v>
      </c>
      <c r="F57">
        <v>2.5007163028968993E-2</v>
      </c>
      <c r="G57">
        <v>1.9925325263491445E-2</v>
      </c>
    </row>
    <row r="58" spans="1:7" x14ac:dyDescent="0.45">
      <c r="A58" t="s">
        <v>84</v>
      </c>
      <c r="B58">
        <v>11717.270037112052</v>
      </c>
      <c r="C58">
        <v>35262.964037427999</v>
      </c>
      <c r="D58">
        <v>40756.55531535043</v>
      </c>
      <c r="E58">
        <v>3.7408365719781678E-2</v>
      </c>
      <c r="F58">
        <v>2.1352791458488785E-2</v>
      </c>
      <c r="G58">
        <v>5.0050164806267894E-3</v>
      </c>
    </row>
    <row r="59" spans="1:7" x14ac:dyDescent="0.45">
      <c r="A59" t="s">
        <v>85</v>
      </c>
      <c r="B59">
        <v>6448.9517972818494</v>
      </c>
      <c r="C59">
        <v>7696.9565684532417</v>
      </c>
      <c r="D59">
        <v>8357.3591561238682</v>
      </c>
      <c r="E59">
        <v>5.9143341630714108E-3</v>
      </c>
      <c r="F59">
        <v>4.4033082513326161E-3</v>
      </c>
      <c r="G59">
        <v>2.8425664832623099E-3</v>
      </c>
    </row>
    <row r="60" spans="1:7" x14ac:dyDescent="0.45">
      <c r="A60" t="s">
        <v>86</v>
      </c>
      <c r="B60">
        <v>7567.86242025108</v>
      </c>
      <c r="C60">
        <v>8382.4543873916828</v>
      </c>
      <c r="D60">
        <v>10652.070780165715</v>
      </c>
      <c r="E60">
        <v>3.4134828918517268E-3</v>
      </c>
      <c r="F60">
        <v>5.8107777958957829E-3</v>
      </c>
      <c r="G60">
        <v>8.2967653328243074E-3</v>
      </c>
    </row>
    <row r="61" spans="1:7" x14ac:dyDescent="0.45">
      <c r="A61" t="s">
        <v>87</v>
      </c>
      <c r="B61">
        <v>6443.6652187468626</v>
      </c>
      <c r="C61">
        <v>31012.156520370234</v>
      </c>
      <c r="D61">
        <v>40195.821703085996</v>
      </c>
      <c r="E61">
        <v>5.3771948149786253E-2</v>
      </c>
      <c r="F61">
        <v>3.1514622624930988E-2</v>
      </c>
      <c r="G61">
        <v>8.9843877344160106E-3</v>
      </c>
    </row>
    <row r="62" spans="1:7" x14ac:dyDescent="0.45">
      <c r="A62" t="s">
        <v>89</v>
      </c>
      <c r="B62">
        <v>2572.3772159929722</v>
      </c>
      <c r="C62">
        <v>3206.9040405317687</v>
      </c>
      <c r="D62">
        <v>4328.4525145509187</v>
      </c>
      <c r="E62">
        <v>7.3762562098091955E-3</v>
      </c>
      <c r="F62">
        <v>8.859004532981718E-3</v>
      </c>
      <c r="G62">
        <v>1.0395178774420755E-2</v>
      </c>
    </row>
    <row r="63" spans="1:7" x14ac:dyDescent="0.45">
      <c r="A63" t="s">
        <v>93</v>
      </c>
      <c r="B63">
        <v>1640.6614611322339</v>
      </c>
      <c r="C63">
        <v>12551.322684443037</v>
      </c>
      <c r="D63">
        <v>42813.458388725885</v>
      </c>
      <c r="E63">
        <v>7.0177174870688974E-2</v>
      </c>
      <c r="F63">
        <v>5.6840661281907456E-2</v>
      </c>
      <c r="G63">
        <v>4.3219137311521827E-2</v>
      </c>
    </row>
    <row r="64" spans="1:7" x14ac:dyDescent="0.45">
      <c r="A64" t="s">
        <v>99</v>
      </c>
      <c r="B64">
        <v>1574.7492914670202</v>
      </c>
      <c r="C64">
        <v>3846.6265800136216</v>
      </c>
      <c r="D64">
        <v>13331.020765626979</v>
      </c>
      <c r="E64">
        <v>3.0217572860227415E-2</v>
      </c>
      <c r="F64">
        <v>3.6866671509821813E-2</v>
      </c>
      <c r="G64">
        <v>4.3790211722118277E-2</v>
      </c>
    </row>
    <row r="65" spans="1:7" x14ac:dyDescent="0.45">
      <c r="A65" t="s">
        <v>100</v>
      </c>
      <c r="B65">
        <v>565.80031408552793</v>
      </c>
      <c r="C65">
        <v>1285.0859306215884</v>
      </c>
      <c r="D65">
        <v>3016.8224721215825</v>
      </c>
      <c r="E65">
        <v>2.7721951348766982E-2</v>
      </c>
      <c r="F65">
        <v>2.8774311452425261E-2</v>
      </c>
      <c r="G65">
        <v>2.9864093815800574E-2</v>
      </c>
    </row>
    <row r="66" spans="1:7" x14ac:dyDescent="0.45">
      <c r="A66" t="s">
        <v>102</v>
      </c>
      <c r="B66">
        <v>22074.229325699744</v>
      </c>
      <c r="C66">
        <v>54167.676270298587</v>
      </c>
      <c r="D66">
        <v>91869.226571382169</v>
      </c>
      <c r="E66">
        <v>3.0374625904533659E-2</v>
      </c>
      <c r="F66">
        <v>2.4463164645930124E-2</v>
      </c>
      <c r="G66">
        <v>1.8383547149907642E-2</v>
      </c>
    </row>
    <row r="67" spans="1:7" x14ac:dyDescent="0.45">
      <c r="A67" t="s">
        <v>105</v>
      </c>
      <c r="B67">
        <v>1467.7973515762521</v>
      </c>
      <c r="C67">
        <v>3742.7708999294564</v>
      </c>
      <c r="D67">
        <v>7964.5155654505661</v>
      </c>
      <c r="E67">
        <v>3.1693999957655539E-2</v>
      </c>
      <c r="F67">
        <v>2.9079764370607775E-2</v>
      </c>
      <c r="G67">
        <v>2.6382353376917411E-2</v>
      </c>
    </row>
    <row r="68" spans="1:7" x14ac:dyDescent="0.45">
      <c r="A68" t="s">
        <v>107</v>
      </c>
      <c r="B68">
        <v>2523.3834055890247</v>
      </c>
      <c r="C68">
        <v>1908.8894607969928</v>
      </c>
      <c r="D68">
        <v>1667.2817574056428</v>
      </c>
      <c r="E68">
        <v>-9.2594971554667005E-3</v>
      </c>
      <c r="F68">
        <v>-6.9992212667502329E-3</v>
      </c>
      <c r="G68">
        <v>-4.6555783072030898E-3</v>
      </c>
    </row>
    <row r="69" spans="1:7" x14ac:dyDescent="0.45">
      <c r="A69" t="s">
        <v>109</v>
      </c>
      <c r="B69">
        <v>7289.0354978653995</v>
      </c>
      <c r="C69">
        <v>14088.028080926246</v>
      </c>
      <c r="D69">
        <v>18862.632323604452</v>
      </c>
      <c r="E69">
        <v>2.220814735606802E-2</v>
      </c>
      <c r="F69">
        <v>1.6246005213091941E-2</v>
      </c>
      <c r="G69">
        <v>1.0114863732840096E-2</v>
      </c>
    </row>
    <row r="70" spans="1:7" x14ac:dyDescent="0.45">
      <c r="A70" t="s">
        <v>111</v>
      </c>
      <c r="B70">
        <v>310.67456909962044</v>
      </c>
      <c r="C70">
        <v>405.43529509224965</v>
      </c>
      <c r="D70">
        <v>2402.4140960423238</v>
      </c>
      <c r="E70">
        <v>8.9133336076254732E-3</v>
      </c>
      <c r="F70">
        <v>3.5277193361129999E-2</v>
      </c>
      <c r="G70">
        <v>6.3275323694633956E-2</v>
      </c>
    </row>
    <row r="71" spans="1:7" x14ac:dyDescent="0.45">
      <c r="A71" t="s">
        <v>112</v>
      </c>
      <c r="B71">
        <v>2508.8703423205088</v>
      </c>
      <c r="C71">
        <v>13910.435359116022</v>
      </c>
      <c r="D71">
        <v>39270.757947320613</v>
      </c>
      <c r="E71">
        <v>5.8754859856825048E-2</v>
      </c>
      <c r="F71">
        <v>4.7724998474993896E-2</v>
      </c>
      <c r="G71">
        <v>3.6435700811349392E-2</v>
      </c>
    </row>
    <row r="72" spans="1:7" x14ac:dyDescent="0.45">
      <c r="A72" t="s">
        <v>116</v>
      </c>
      <c r="B72">
        <v>413.46622320972659</v>
      </c>
      <c r="C72">
        <v>465.17574861595563</v>
      </c>
      <c r="D72">
        <v>1264.3690970164</v>
      </c>
      <c r="E72">
        <v>3.9357067046625893E-3</v>
      </c>
      <c r="F72">
        <v>1.9125555667435012E-2</v>
      </c>
      <c r="G72">
        <v>3.5081085654923516E-2</v>
      </c>
    </row>
    <row r="73" spans="1:7" x14ac:dyDescent="0.45">
      <c r="A73" t="s">
        <v>117</v>
      </c>
      <c r="B73">
        <v>2343.5082511571745</v>
      </c>
      <c r="C73">
        <v>4319.1684608956393</v>
      </c>
      <c r="D73">
        <v>5051.6542192368033</v>
      </c>
      <c r="E73">
        <v>2.0589560987426259E-2</v>
      </c>
      <c r="F73">
        <v>1.3103183731823176E-2</v>
      </c>
      <c r="G73">
        <v>5.4164389089248477E-3</v>
      </c>
    </row>
    <row r="74" spans="1:7" x14ac:dyDescent="0.45">
      <c r="A74" t="s">
        <v>119</v>
      </c>
      <c r="B74">
        <v>3597.5455508474574</v>
      </c>
      <c r="C74">
        <v>8389.643905672885</v>
      </c>
      <c r="D74">
        <v>23826.842088682366</v>
      </c>
      <c r="E74">
        <v>2.8626971089185327E-2</v>
      </c>
      <c r="F74">
        <v>3.2562323531630799E-2</v>
      </c>
      <c r="G74">
        <v>3.6649222179357288E-2</v>
      </c>
    </row>
    <row r="75" spans="1:7" x14ac:dyDescent="0.45">
      <c r="A75" t="s">
        <v>120</v>
      </c>
      <c r="B75">
        <v>412.80842730959392</v>
      </c>
      <c r="C75">
        <v>813.51363708862777</v>
      </c>
      <c r="D75">
        <v>1189.9342251472192</v>
      </c>
      <c r="E75">
        <v>2.2870239042130036E-2</v>
      </c>
      <c r="F75">
        <v>1.8105506726415976E-2</v>
      </c>
      <c r="G75">
        <v>1.3199828328319896E-2</v>
      </c>
    </row>
    <row r="76" spans="1:7" x14ac:dyDescent="0.45">
      <c r="A76" t="s">
        <v>121</v>
      </c>
      <c r="B76">
        <v>2548.2422931767801</v>
      </c>
      <c r="C76">
        <v>9338.8055829792884</v>
      </c>
      <c r="D76">
        <v>25702.283347626588</v>
      </c>
      <c r="E76">
        <v>4.4243275246512948E-2</v>
      </c>
      <c r="F76">
        <v>3.9949833256708089E-2</v>
      </c>
      <c r="G76">
        <v>3.552691686042686E-2</v>
      </c>
    </row>
    <row r="77" spans="1:7" x14ac:dyDescent="0.45">
      <c r="A77" t="s">
        <v>122</v>
      </c>
      <c r="B77">
        <v>4322.2717339667461</v>
      </c>
      <c r="C77">
        <v>5777.1574429478678</v>
      </c>
      <c r="D77">
        <v>9514.0817799158158</v>
      </c>
      <c r="E77">
        <v>9.7179368272601874E-3</v>
      </c>
      <c r="F77">
        <v>1.3462558525664914E-2</v>
      </c>
      <c r="G77">
        <v>1.7350919530704223E-2</v>
      </c>
    </row>
    <row r="78" spans="1:7" x14ac:dyDescent="0.45">
      <c r="A78" t="s">
        <v>123</v>
      </c>
      <c r="B78">
        <v>1681.4462973121231</v>
      </c>
      <c r="C78">
        <v>1001.5713253432338</v>
      </c>
      <c r="D78">
        <v>1184.1170664115621</v>
      </c>
      <c r="E78">
        <v>-1.7121211406034176E-2</v>
      </c>
      <c r="F78">
        <v>-5.9257107499000039E-3</v>
      </c>
      <c r="G78">
        <v>5.7900535616435267E-3</v>
      </c>
    </row>
    <row r="79" spans="1:7" x14ac:dyDescent="0.45">
      <c r="A79" t="s">
        <v>124</v>
      </c>
      <c r="B79">
        <v>3390.7013249274687</v>
      </c>
      <c r="C79">
        <v>3178.116384928449</v>
      </c>
      <c r="D79">
        <v>5007.058803186248</v>
      </c>
      <c r="E79">
        <v>-2.155942310440917E-3</v>
      </c>
      <c r="F79">
        <v>6.6288555532556526E-3</v>
      </c>
      <c r="G79">
        <v>1.5797971407329303E-2</v>
      </c>
    </row>
    <row r="80" spans="1:7" x14ac:dyDescent="0.45">
      <c r="A80" t="s">
        <v>125</v>
      </c>
      <c r="B80">
        <v>4257.5929375464257</v>
      </c>
      <c r="C80">
        <v>3253.2129678439642</v>
      </c>
      <c r="D80">
        <v>5092.4424413719353</v>
      </c>
      <c r="E80">
        <v>-8.9285961883798226E-3</v>
      </c>
      <c r="F80">
        <v>3.0394165353335723E-3</v>
      </c>
      <c r="G80">
        <v>1.5572225412738616E-2</v>
      </c>
    </row>
    <row r="81" spans="1:7" x14ac:dyDescent="0.45">
      <c r="A81" t="s">
        <v>126</v>
      </c>
      <c r="B81">
        <v>16053.593950712093</v>
      </c>
      <c r="C81">
        <v>35631.949363197775</v>
      </c>
      <c r="D81">
        <v>56194.961426206777</v>
      </c>
      <c r="E81">
        <v>2.693331612274541E-2</v>
      </c>
      <c r="F81">
        <v>2.1462575186973476E-2</v>
      </c>
      <c r="G81">
        <v>1.5833854970292993E-2</v>
      </c>
    </row>
    <row r="82" spans="1:7" x14ac:dyDescent="0.45">
      <c r="A82" t="s">
        <v>127</v>
      </c>
      <c r="B82">
        <v>17675.53248603352</v>
      </c>
      <c r="C82">
        <v>45895.340875379654</v>
      </c>
      <c r="D82">
        <v>70221.670564613582</v>
      </c>
      <c r="E82">
        <v>3.2317294384176742E-2</v>
      </c>
      <c r="F82">
        <v>2.3656419787119853E-2</v>
      </c>
      <c r="G82">
        <v>1.4773351051669215E-2</v>
      </c>
    </row>
    <row r="83" spans="1:7" x14ac:dyDescent="0.45">
      <c r="A83" t="s">
        <v>128</v>
      </c>
      <c r="B83">
        <v>1097.3449144206177</v>
      </c>
      <c r="C83">
        <v>1477.111903943297</v>
      </c>
      <c r="D83">
        <v>3614.6953339368797</v>
      </c>
      <c r="E83">
        <v>9.9557391168696441E-3</v>
      </c>
      <c r="F83">
        <v>2.0410831793281847E-2</v>
      </c>
      <c r="G83">
        <v>3.1340352388846915E-2</v>
      </c>
    </row>
    <row r="84" spans="1:7" x14ac:dyDescent="0.45">
      <c r="A84" t="s">
        <v>129</v>
      </c>
      <c r="B84">
        <v>17345.61588255204</v>
      </c>
      <c r="C84">
        <v>24753.83567771173</v>
      </c>
      <c r="D84">
        <v>41051.364449833789</v>
      </c>
      <c r="E84">
        <v>1.1925234189713585E-2</v>
      </c>
      <c r="F84">
        <v>1.4708550184172164E-2</v>
      </c>
      <c r="G84">
        <v>1.759589892878477E-2</v>
      </c>
    </row>
    <row r="85" spans="1:7" x14ac:dyDescent="0.45">
      <c r="A85" t="s">
        <v>131</v>
      </c>
      <c r="B85">
        <v>1265.4760611395825</v>
      </c>
      <c r="C85">
        <v>3042.55586964539</v>
      </c>
      <c r="D85">
        <v>4980.3575411203919</v>
      </c>
      <c r="E85">
        <v>2.9673385827566845E-2</v>
      </c>
      <c r="F85">
        <v>2.3492954502329022E-2</v>
      </c>
      <c r="G85">
        <v>1.7138439960355356E-2</v>
      </c>
    </row>
    <row r="86" spans="1:7" x14ac:dyDescent="0.45">
      <c r="A86" t="s">
        <v>132</v>
      </c>
      <c r="B86">
        <v>4299.584826132771</v>
      </c>
      <c r="C86">
        <v>10506.032417337814</v>
      </c>
      <c r="D86">
        <v>30412.770605689522</v>
      </c>
      <c r="E86">
        <v>3.0228928342240335E-2</v>
      </c>
      <c r="F86">
        <v>3.3714241032460457E-2</v>
      </c>
      <c r="G86">
        <v>3.7332145265130068E-2</v>
      </c>
    </row>
    <row r="87" spans="1:7" x14ac:dyDescent="0.45">
      <c r="A87" t="s">
        <v>133</v>
      </c>
      <c r="B87">
        <v>5037.7647848401102</v>
      </c>
      <c r="C87">
        <v>5018.4036943737146</v>
      </c>
      <c r="D87">
        <v>12282.95377801018</v>
      </c>
      <c r="E87">
        <v>-1.2834491885493904E-4</v>
      </c>
      <c r="F87">
        <v>1.5220602456919474E-2</v>
      </c>
      <c r="G87">
        <v>3.1346815241859893E-2</v>
      </c>
    </row>
    <row r="88" spans="1:7" x14ac:dyDescent="0.45">
      <c r="A88" t="s">
        <v>134</v>
      </c>
      <c r="B88">
        <v>2864.3012592782961</v>
      </c>
      <c r="C88">
        <v>4160.5553629360593</v>
      </c>
      <c r="D88">
        <v>8601.4497311236191</v>
      </c>
      <c r="E88">
        <v>1.2521888267518877E-2</v>
      </c>
      <c r="F88">
        <v>1.8812155691495303E-2</v>
      </c>
      <c r="G88">
        <v>2.536045446889279E-2</v>
      </c>
    </row>
    <row r="89" spans="1:7" x14ac:dyDescent="0.45">
      <c r="A89" t="s">
        <v>136</v>
      </c>
      <c r="B89">
        <v>6167.0266421415517</v>
      </c>
      <c r="C89">
        <v>21860.405147846475</v>
      </c>
      <c r="D89">
        <v>32191.894349807357</v>
      </c>
      <c r="E89">
        <v>4.3084309780772267E-2</v>
      </c>
      <c r="F89">
        <v>2.8404362661842431E-2</v>
      </c>
      <c r="G89">
        <v>1.3435583843083743E-2</v>
      </c>
    </row>
    <row r="90" spans="1:7" x14ac:dyDescent="0.45">
      <c r="A90" t="s">
        <v>137</v>
      </c>
      <c r="B90">
        <v>3686.3703878406709</v>
      </c>
      <c r="C90">
        <v>7609.3988729459679</v>
      </c>
      <c r="D90">
        <v>12468.183743576639</v>
      </c>
      <c r="E90">
        <v>2.4452231304322725E-2</v>
      </c>
      <c r="F90">
        <v>2.0867935235381108E-2</v>
      </c>
      <c r="G90">
        <v>1.7173238857428608E-2</v>
      </c>
    </row>
    <row r="91" spans="1:7" x14ac:dyDescent="0.45">
      <c r="A91" t="s">
        <v>140</v>
      </c>
      <c r="B91">
        <v>2499.5165509005124</v>
      </c>
      <c r="C91">
        <v>12185.782457469815</v>
      </c>
      <c r="D91">
        <v>28048.249124691447</v>
      </c>
      <c r="E91">
        <v>5.4224844382495974E-2</v>
      </c>
      <c r="F91">
        <v>4.183142545772367E-2</v>
      </c>
      <c r="G91">
        <v>2.9163945592759477E-2</v>
      </c>
    </row>
    <row r="92" spans="1:7" x14ac:dyDescent="0.45">
      <c r="A92" t="s">
        <v>142</v>
      </c>
      <c r="B92">
        <v>801.04695099758453</v>
      </c>
      <c r="C92">
        <v>784.79817256376145</v>
      </c>
      <c r="D92">
        <v>2331.3484992476438</v>
      </c>
      <c r="E92">
        <v>-6.828661113157386E-4</v>
      </c>
      <c r="F92">
        <v>1.8271400528373727E-2</v>
      </c>
      <c r="G92">
        <v>3.825766346407744E-2</v>
      </c>
    </row>
    <row r="93" spans="1:7" x14ac:dyDescent="0.45">
      <c r="A93" t="s">
        <v>145</v>
      </c>
      <c r="B93">
        <v>2836.6694891597654</v>
      </c>
      <c r="C93">
        <v>2287.0758274318055</v>
      </c>
      <c r="D93">
        <v>3319.8134434599056</v>
      </c>
      <c r="E93">
        <v>-7.152848353659369E-3</v>
      </c>
      <c r="F93">
        <v>2.6692840201198997E-3</v>
      </c>
      <c r="G93">
        <v>1.2932375304674615E-2</v>
      </c>
    </row>
    <row r="94" spans="1:7" x14ac:dyDescent="0.45">
      <c r="A94" t="s">
        <v>146</v>
      </c>
      <c r="B94">
        <v>5165.1860634804816</v>
      </c>
      <c r="C94">
        <v>32955.004878858279</v>
      </c>
      <c r="D94">
        <v>83455.353151973541</v>
      </c>
      <c r="E94">
        <v>6.3721278767467027E-2</v>
      </c>
      <c r="F94">
        <v>4.82884901934586E-2</v>
      </c>
      <c r="G94">
        <v>3.2559114943964573E-2</v>
      </c>
    </row>
    <row r="95" spans="1:7" x14ac:dyDescent="0.45">
      <c r="A95" t="s">
        <v>148</v>
      </c>
      <c r="B95">
        <v>3786.7364220288091</v>
      </c>
      <c r="C95">
        <v>4409.1149314054765</v>
      </c>
      <c r="D95">
        <v>8244.2067218296761</v>
      </c>
      <c r="E95">
        <v>5.0852002214565317E-3</v>
      </c>
      <c r="F95">
        <v>1.3273871546581884E-2</v>
      </c>
      <c r="G95">
        <v>2.1815122932645759E-2</v>
      </c>
    </row>
    <row r="96" spans="1:7" x14ac:dyDescent="0.45">
      <c r="A96" t="s">
        <v>154</v>
      </c>
      <c r="B96">
        <v>16272.76686199394</v>
      </c>
      <c r="C96">
        <v>33659.062994607462</v>
      </c>
      <c r="D96">
        <v>53012.403600892751</v>
      </c>
      <c r="E96">
        <v>2.452215417149417E-2</v>
      </c>
      <c r="F96">
        <v>2.0219201496014527E-2</v>
      </c>
      <c r="G96">
        <v>1.5786887969817975E-2</v>
      </c>
    </row>
    <row r="97" spans="1:7" x14ac:dyDescent="0.45">
      <c r="A97" t="s">
        <v>157</v>
      </c>
      <c r="B97">
        <v>3968.4367245657563</v>
      </c>
      <c r="C97">
        <v>12211.024079320114</v>
      </c>
      <c r="D97">
        <v>24957.141248720574</v>
      </c>
      <c r="E97">
        <v>3.817624554477228E-2</v>
      </c>
      <c r="F97">
        <v>3.1656635558110935E-2</v>
      </c>
      <c r="G97">
        <v>2.4955292656891892E-2</v>
      </c>
    </row>
    <row r="98" spans="1:7" x14ac:dyDescent="0.45">
      <c r="A98" t="s">
        <v>158</v>
      </c>
      <c r="B98">
        <v>4461.1795412544843</v>
      </c>
      <c r="C98">
        <v>7410.4338834343007</v>
      </c>
      <c r="D98">
        <v>7180.0317162758274</v>
      </c>
      <c r="E98">
        <v>1.7059742950840118E-2</v>
      </c>
      <c r="F98">
        <v>8.0985596922036329E-3</v>
      </c>
      <c r="G98">
        <v>-1.0885516147823848E-3</v>
      </c>
    </row>
    <row r="99" spans="1:7" x14ac:dyDescent="0.45">
      <c r="A99" t="s">
        <v>160</v>
      </c>
      <c r="B99">
        <v>1198.0768661735035</v>
      </c>
      <c r="C99">
        <v>926.70700786477278</v>
      </c>
      <c r="D99">
        <v>1566.408355228916</v>
      </c>
      <c r="E99">
        <v>-8.5246403623808753E-3</v>
      </c>
      <c r="F99">
        <v>4.5538572174803615E-3</v>
      </c>
      <c r="G99">
        <v>1.8264908560673643E-2</v>
      </c>
    </row>
    <row r="100" spans="1:7" x14ac:dyDescent="0.45">
      <c r="A100" t="s">
        <v>161</v>
      </c>
      <c r="B100">
        <v>1140.5851029908806</v>
      </c>
      <c r="C100">
        <v>1536.6786423972655</v>
      </c>
      <c r="D100">
        <v>2158.8345664654066</v>
      </c>
      <c r="E100">
        <v>9.9855926902749914E-3</v>
      </c>
      <c r="F100">
        <v>1.087270224858905E-2</v>
      </c>
      <c r="G100">
        <v>1.1791221748520098E-2</v>
      </c>
    </row>
    <row r="101" spans="1:7" x14ac:dyDescent="0.45">
      <c r="A101" t="s">
        <v>162</v>
      </c>
      <c r="B101">
        <v>1218.8971443400328</v>
      </c>
      <c r="C101">
        <v>6716.9056617784863</v>
      </c>
      <c r="D101">
        <v>17659.041717414282</v>
      </c>
      <c r="E101">
        <v>5.8538698191783922E-2</v>
      </c>
      <c r="F101">
        <v>4.6352382069719811E-2</v>
      </c>
      <c r="G101">
        <v>3.3893462229649618E-2</v>
      </c>
    </row>
    <row r="102" spans="1:7" x14ac:dyDescent="0.45">
      <c r="A102" t="s">
        <v>165</v>
      </c>
      <c r="B102">
        <v>7791.2640807013331</v>
      </c>
      <c r="C102">
        <v>11290.850708377691</v>
      </c>
      <c r="D102">
        <v>25588.768458781364</v>
      </c>
      <c r="E102">
        <v>1.2443099422593473E-2</v>
      </c>
      <c r="F102">
        <v>2.0359576995850226E-2</v>
      </c>
      <c r="G102">
        <v>2.8614181327992538E-2</v>
      </c>
    </row>
    <row r="103" spans="1:7" x14ac:dyDescent="0.45">
      <c r="A103" t="s">
        <v>166</v>
      </c>
      <c r="B103">
        <v>2051.4825926286103</v>
      </c>
      <c r="C103">
        <v>5602.7871034273585</v>
      </c>
      <c r="D103">
        <v>11064.691697948645</v>
      </c>
      <c r="E103">
        <v>3.4057152162644488E-2</v>
      </c>
      <c r="F103">
        <v>2.8974474286217689E-2</v>
      </c>
      <c r="G103">
        <v>2.3742820006051435E-2</v>
      </c>
    </row>
    <row r="104" spans="1:7" x14ac:dyDescent="0.45">
      <c r="A104" t="s">
        <v>167</v>
      </c>
      <c r="B104">
        <v>5472.000915661074</v>
      </c>
      <c r="C104">
        <v>12007.354863895494</v>
      </c>
      <c r="D104">
        <v>26883.108632907268</v>
      </c>
      <c r="E104">
        <v>2.6541960598579273E-2</v>
      </c>
      <c r="F104">
        <v>2.7347844332815674E-2</v>
      </c>
      <c r="G104">
        <v>2.8182182923740751E-2</v>
      </c>
    </row>
    <row r="105" spans="1:7" x14ac:dyDescent="0.45">
      <c r="A105" t="s">
        <v>168</v>
      </c>
      <c r="B105">
        <v>1805.0165452721767</v>
      </c>
      <c r="C105">
        <v>14998.064490677501</v>
      </c>
      <c r="D105">
        <v>47804.235887438546</v>
      </c>
      <c r="E105">
        <v>7.3128677986103563E-2</v>
      </c>
      <c r="F105">
        <v>5.7105647735028686E-2</v>
      </c>
      <c r="G105">
        <v>4.0781814704528241E-2</v>
      </c>
    </row>
    <row r="106" spans="1:7" x14ac:dyDescent="0.45">
      <c r="A106" t="s">
        <v>169</v>
      </c>
      <c r="B106">
        <v>870.82742095844105</v>
      </c>
      <c r="C106">
        <v>1127.6969735275409</v>
      </c>
      <c r="D106">
        <v>2479.7769790297607</v>
      </c>
      <c r="E106">
        <v>8.6535250455717083E-3</v>
      </c>
      <c r="F106">
        <v>1.7895184515570595E-2</v>
      </c>
      <c r="G106">
        <v>2.754463690058917E-2</v>
      </c>
    </row>
    <row r="107" spans="1:7" x14ac:dyDescent="0.45">
      <c r="A107" t="s">
        <v>170</v>
      </c>
      <c r="B107">
        <v>950.98436608467432</v>
      </c>
      <c r="C107">
        <v>810.15938897340163</v>
      </c>
      <c r="D107">
        <v>2058.1335724741134</v>
      </c>
      <c r="E107">
        <v>-5.3279763209311826E-3</v>
      </c>
      <c r="F107">
        <v>1.3171707828590673E-2</v>
      </c>
      <c r="G107">
        <v>3.267146206199234E-2</v>
      </c>
    </row>
    <row r="108" spans="1:7" x14ac:dyDescent="0.45">
      <c r="A108" t="s">
        <v>172</v>
      </c>
      <c r="B108">
        <v>7682.0148104030168</v>
      </c>
      <c r="C108">
        <v>10092.084416002059</v>
      </c>
      <c r="D108">
        <v>20844.078140797876</v>
      </c>
      <c r="E108">
        <v>9.1371423877897318E-3</v>
      </c>
      <c r="F108">
        <v>1.7062368508274472E-2</v>
      </c>
      <c r="G108">
        <v>2.5326381038492496E-2</v>
      </c>
    </row>
    <row r="109" spans="1:7" x14ac:dyDescent="0.45">
      <c r="A109" t="s">
        <v>173</v>
      </c>
      <c r="B109">
        <v>19019.006575771971</v>
      </c>
      <c r="C109">
        <v>40010.879726860556</v>
      </c>
      <c r="D109">
        <v>62490.991898558612</v>
      </c>
      <c r="E109">
        <v>2.5100256987082847E-2</v>
      </c>
      <c r="F109">
        <v>2.0367068619823181E-2</v>
      </c>
      <c r="G109">
        <v>1.5493663556054527E-2</v>
      </c>
    </row>
    <row r="110" spans="1:7" x14ac:dyDescent="0.45">
      <c r="A110" t="s">
        <v>176</v>
      </c>
      <c r="B110">
        <v>439.56847680795516</v>
      </c>
      <c r="C110">
        <v>552.78097256108435</v>
      </c>
      <c r="D110">
        <v>233.93894262128367</v>
      </c>
      <c r="E110">
        <v>7.6681958597921707E-3</v>
      </c>
      <c r="F110">
        <v>-1.0633456711138134E-2</v>
      </c>
      <c r="G110">
        <v>-2.9216481722380672E-2</v>
      </c>
    </row>
    <row r="111" spans="1:7" x14ac:dyDescent="0.45">
      <c r="A111" t="s">
        <v>180</v>
      </c>
      <c r="B111">
        <v>7962.8747056805132</v>
      </c>
      <c r="C111">
        <v>10320.012635697885</v>
      </c>
      <c r="D111">
        <v>12514.906085046867</v>
      </c>
      <c r="E111">
        <v>8.6806235127931952E-3</v>
      </c>
      <c r="F111">
        <v>7.6926638020626825E-3</v>
      </c>
      <c r="G111">
        <v>6.6716547950080862E-3</v>
      </c>
    </row>
    <row r="112" spans="1:7" x14ac:dyDescent="0.45">
      <c r="A112" t="s">
        <v>181</v>
      </c>
      <c r="B112">
        <v>2397.3829294982024</v>
      </c>
      <c r="C112">
        <v>2027.6158421262194</v>
      </c>
      <c r="D112">
        <v>3151.1266670399191</v>
      </c>
      <c r="E112">
        <v>-5.5683408477953389E-3</v>
      </c>
      <c r="F112">
        <v>4.6443511220448652E-3</v>
      </c>
      <c r="G112">
        <v>1.5319588326771827E-2</v>
      </c>
    </row>
    <row r="113" spans="1:7" x14ac:dyDescent="0.45">
      <c r="A113" t="s">
        <v>182</v>
      </c>
      <c r="B113">
        <v>1515.5499467131085</v>
      </c>
      <c r="C113">
        <v>1987.2020915609066</v>
      </c>
      <c r="D113">
        <v>2915.1664538595473</v>
      </c>
      <c r="E113">
        <v>9.0725513867480068E-3</v>
      </c>
      <c r="F113">
        <v>1.1148954991307303E-2</v>
      </c>
      <c r="G113">
        <v>1.3301455055537259E-2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3157-A140-4FFF-B4F3-D2BDF9C5980C}">
  <dimension ref="A1:G185"/>
  <sheetViews>
    <sheetView workbookViewId="0">
      <selection sqref="A1:G185"/>
    </sheetView>
  </sheetViews>
  <sheetFormatPr defaultRowHeight="14.25" x14ac:dyDescent="0.45"/>
  <sheetData>
    <row r="1" spans="1:7" x14ac:dyDescent="0.45">
      <c r="B1" t="s">
        <v>185</v>
      </c>
      <c r="E1" t="s">
        <v>186</v>
      </c>
    </row>
    <row r="2" spans="1:7" x14ac:dyDescent="0.45">
      <c r="B2">
        <v>1960</v>
      </c>
      <c r="C2">
        <v>1990</v>
      </c>
      <c r="D2">
        <v>2019</v>
      </c>
      <c r="E2" t="s">
        <v>187</v>
      </c>
      <c r="F2" t="s">
        <v>188</v>
      </c>
      <c r="G2" t="s">
        <v>189</v>
      </c>
    </row>
    <row r="3" spans="1:7" x14ac:dyDescent="0.45">
      <c r="A3" t="s">
        <v>0</v>
      </c>
      <c r="B3" t="e">
        <v>#DIV/0!</v>
      </c>
      <c r="C3">
        <v>27276.632850241545</v>
      </c>
      <c r="D3">
        <v>28868.845719661334</v>
      </c>
      <c r="E3" t="e">
        <v>#DIV/0!</v>
      </c>
      <c r="F3" t="e">
        <v>#DIV/0!</v>
      </c>
      <c r="G3">
        <v>1.958211858276826E-3</v>
      </c>
    </row>
    <row r="4" spans="1:7" x14ac:dyDescent="0.45">
      <c r="A4" t="s">
        <v>1</v>
      </c>
      <c r="B4" t="e">
        <v>#DIV/0!</v>
      </c>
      <c r="C4">
        <v>6090.7491982039774</v>
      </c>
      <c r="D4">
        <v>6980.3289364122256</v>
      </c>
      <c r="E4" t="e">
        <v>#DIV/0!</v>
      </c>
      <c r="F4" t="e">
        <v>#DIV/0!</v>
      </c>
      <c r="G4">
        <v>4.7119265845474434E-3</v>
      </c>
    </row>
    <row r="5" spans="1:7" x14ac:dyDescent="0.45">
      <c r="A5" t="s">
        <v>2</v>
      </c>
      <c r="B5" t="e">
        <v>#DIV/0!</v>
      </c>
      <c r="C5">
        <v>10391.741573033709</v>
      </c>
      <c r="D5">
        <v>14997.093959731545</v>
      </c>
      <c r="E5" t="e">
        <v>#DIV/0!</v>
      </c>
      <c r="F5" t="e">
        <v>#DIV/0!</v>
      </c>
      <c r="G5">
        <v>1.2730176318642483E-2</v>
      </c>
    </row>
    <row r="6" spans="1:7" x14ac:dyDescent="0.45">
      <c r="A6" t="s">
        <v>3</v>
      </c>
      <c r="B6" t="e">
        <v>#DIV/0!</v>
      </c>
      <c r="C6">
        <v>4596.8497611149996</v>
      </c>
      <c r="D6">
        <v>12914.288382102814</v>
      </c>
      <c r="E6" t="e">
        <v>#DIV/0!</v>
      </c>
      <c r="F6" t="e">
        <v>#DIV/0!</v>
      </c>
      <c r="G6">
        <v>3.6261387879040541E-2</v>
      </c>
    </row>
    <row r="7" spans="1:7" x14ac:dyDescent="0.45">
      <c r="A7" t="s">
        <v>4</v>
      </c>
      <c r="B7" t="e">
        <v>#DIV/0!</v>
      </c>
      <c r="C7">
        <v>102193.6614526362</v>
      </c>
      <c r="D7">
        <v>66320.684714190676</v>
      </c>
      <c r="E7" t="e">
        <v>#DIV/0!</v>
      </c>
      <c r="F7" t="e">
        <v>#DIV/0!</v>
      </c>
      <c r="G7">
        <v>-1.4798642812157481E-2</v>
      </c>
    </row>
    <row r="8" spans="1:7" x14ac:dyDescent="0.45">
      <c r="A8" t="s">
        <v>5</v>
      </c>
      <c r="B8">
        <v>13158.081739731428</v>
      </c>
      <c r="C8">
        <v>13716.758908233622</v>
      </c>
      <c r="D8">
        <v>21785.47901216372</v>
      </c>
      <c r="E8">
        <v>1.3870347907918301E-3</v>
      </c>
      <c r="F8">
        <v>8.5825101337348997E-3</v>
      </c>
      <c r="G8">
        <v>1.608051799336585E-2</v>
      </c>
    </row>
    <row r="9" spans="1:7" x14ac:dyDescent="0.45">
      <c r="A9" t="s">
        <v>6</v>
      </c>
      <c r="B9" t="e">
        <v>#DIV/0!</v>
      </c>
      <c r="C9">
        <v>5462.157876886552</v>
      </c>
      <c r="D9">
        <v>14626.29587179227</v>
      </c>
      <c r="E9" t="e">
        <v>#DIV/0!</v>
      </c>
      <c r="F9" t="e">
        <v>#DIV/0!</v>
      </c>
      <c r="G9">
        <v>3.4548113954612214E-2</v>
      </c>
    </row>
    <row r="10" spans="1:7" x14ac:dyDescent="0.45">
      <c r="A10" t="s">
        <v>7</v>
      </c>
      <c r="B10" t="e">
        <v>#DIV/0!</v>
      </c>
      <c r="C10">
        <v>11171.4256</v>
      </c>
      <c r="D10">
        <v>15566.889804325438</v>
      </c>
      <c r="E10" t="e">
        <v>#DIV/0!</v>
      </c>
      <c r="F10" t="e">
        <v>#DIV/0!</v>
      </c>
      <c r="G10">
        <v>1.1506628017545983E-2</v>
      </c>
    </row>
    <row r="11" spans="1:7" x14ac:dyDescent="0.45">
      <c r="A11" t="s">
        <v>8</v>
      </c>
      <c r="B11">
        <v>17696.397449856733</v>
      </c>
      <c r="C11">
        <v>32738.446016060752</v>
      </c>
      <c r="D11">
        <v>52205.047374936519</v>
      </c>
      <c r="E11">
        <v>2.0717999476985272E-2</v>
      </c>
      <c r="F11">
        <v>1.8505034749068283E-2</v>
      </c>
      <c r="G11">
        <v>1.6220809593668895E-2</v>
      </c>
    </row>
    <row r="12" spans="1:7" x14ac:dyDescent="0.45">
      <c r="A12" t="s">
        <v>9</v>
      </c>
      <c r="B12">
        <v>13843.302207561532</v>
      </c>
      <c r="C12">
        <v>35785.941208456861</v>
      </c>
      <c r="D12">
        <v>53234.839644448417</v>
      </c>
      <c r="E12">
        <v>3.2164912336666296E-2</v>
      </c>
      <c r="F12">
        <v>2.3091585327341679E-2</v>
      </c>
      <c r="G12">
        <v>1.3789309196635013E-2</v>
      </c>
    </row>
    <row r="13" spans="1:7" x14ac:dyDescent="0.45">
      <c r="A13" t="s">
        <v>10</v>
      </c>
      <c r="B13" t="e">
        <v>#DIV/0!</v>
      </c>
      <c r="C13">
        <v>7648.2409703429612</v>
      </c>
      <c r="D13">
        <v>14325.647909471818</v>
      </c>
      <c r="E13" t="e">
        <v>#DIV/0!</v>
      </c>
      <c r="F13" t="e">
        <v>#DIV/0!</v>
      </c>
      <c r="G13">
        <v>2.1876399968943083E-2</v>
      </c>
    </row>
    <row r="14" spans="1:7" x14ac:dyDescent="0.45">
      <c r="A14" t="s">
        <v>11</v>
      </c>
      <c r="B14">
        <v>697.95552279591539</v>
      </c>
      <c r="C14">
        <v>1106.7687626401912</v>
      </c>
      <c r="D14">
        <v>802.27185055417772</v>
      </c>
      <c r="E14">
        <v>1.5486852184100952E-2</v>
      </c>
      <c r="F14">
        <v>2.3636727481011199E-3</v>
      </c>
      <c r="G14">
        <v>-1.1033592511222712E-2</v>
      </c>
    </row>
    <row r="15" spans="1:7" x14ac:dyDescent="0.45">
      <c r="A15" t="s">
        <v>12</v>
      </c>
      <c r="B15">
        <v>12673.348794083437</v>
      </c>
      <c r="C15">
        <v>31787.90973866986</v>
      </c>
      <c r="D15">
        <v>46285.503670066639</v>
      </c>
      <c r="E15">
        <v>3.1127460139948937E-2</v>
      </c>
      <c r="F15">
        <v>2.2197482173478944E-2</v>
      </c>
      <c r="G15">
        <v>1.3040949189111251E-2</v>
      </c>
    </row>
    <row r="16" spans="1:7" x14ac:dyDescent="0.45">
      <c r="A16" t="s">
        <v>13</v>
      </c>
      <c r="B16">
        <v>1098.461174822726</v>
      </c>
      <c r="C16">
        <v>1504.110454956312</v>
      </c>
      <c r="D16">
        <v>3315.929337694472</v>
      </c>
      <c r="E16">
        <v>1.0531449249298275E-2</v>
      </c>
      <c r="F16">
        <v>1.8902321596529825E-2</v>
      </c>
      <c r="G16">
        <v>2.7634820729639742E-2</v>
      </c>
    </row>
    <row r="17" spans="1:7" x14ac:dyDescent="0.45">
      <c r="A17" t="s">
        <v>14</v>
      </c>
      <c r="B17">
        <v>744.54799325594468</v>
      </c>
      <c r="C17">
        <v>965.75747361252979</v>
      </c>
      <c r="D17">
        <v>2045.3257551152972</v>
      </c>
      <c r="E17">
        <v>8.708884468000333E-3</v>
      </c>
      <c r="F17">
        <v>1.7275232757421266E-2</v>
      </c>
      <c r="G17">
        <v>2.6213534705518793E-2</v>
      </c>
    </row>
    <row r="18" spans="1:7" x14ac:dyDescent="0.45">
      <c r="A18" t="s">
        <v>15</v>
      </c>
      <c r="B18">
        <v>1521.3614470786347</v>
      </c>
      <c r="C18">
        <v>1469.6448949327339</v>
      </c>
      <c r="D18">
        <v>4698.8848099495726</v>
      </c>
      <c r="E18">
        <v>-1.1521630598894106E-3</v>
      </c>
      <c r="F18">
        <v>1.9297731090926362E-2</v>
      </c>
      <c r="G18">
        <v>4.0893482547394555E-2</v>
      </c>
    </row>
    <row r="19" spans="1:7" x14ac:dyDescent="0.45">
      <c r="A19" t="s">
        <v>16</v>
      </c>
      <c r="B19" t="e">
        <v>#DIV/0!</v>
      </c>
      <c r="C19">
        <v>10735.356704179156</v>
      </c>
      <c r="D19">
        <v>21169.257853459236</v>
      </c>
      <c r="E19" t="e">
        <v>#DIV/0!</v>
      </c>
      <c r="F19" t="e">
        <v>#DIV/0!</v>
      </c>
      <c r="G19">
        <v>2.369030792679605E-2</v>
      </c>
    </row>
    <row r="20" spans="1:7" x14ac:dyDescent="0.45">
      <c r="A20" t="s">
        <v>17</v>
      </c>
      <c r="B20" t="e">
        <v>#DIV/0!</v>
      </c>
      <c r="C20">
        <v>42841.849969751958</v>
      </c>
      <c r="D20">
        <v>46452.362417743112</v>
      </c>
      <c r="E20" t="e">
        <v>#DIV/0!</v>
      </c>
      <c r="F20" t="e">
        <v>#DIV/0!</v>
      </c>
      <c r="G20">
        <v>2.7939612152743099E-3</v>
      </c>
    </row>
    <row r="21" spans="1:7" x14ac:dyDescent="0.45">
      <c r="A21" t="s">
        <v>18</v>
      </c>
      <c r="B21" t="e">
        <v>#DIV/0!</v>
      </c>
      <c r="C21">
        <v>32323.833723653399</v>
      </c>
      <c r="D21">
        <v>32707.994094993581</v>
      </c>
      <c r="E21" t="e">
        <v>#DIV/0!</v>
      </c>
      <c r="F21" t="e">
        <v>#DIV/0!</v>
      </c>
      <c r="G21">
        <v>4.0748546368862826E-4</v>
      </c>
    </row>
    <row r="22" spans="1:7" x14ac:dyDescent="0.45">
      <c r="A22" t="s">
        <v>19</v>
      </c>
      <c r="B22" t="e">
        <v>#DIV/0!</v>
      </c>
      <c r="C22">
        <v>1932.2203925258768</v>
      </c>
      <c r="D22">
        <v>13681.055468039987</v>
      </c>
      <c r="E22" t="e">
        <v>#DIV/0!</v>
      </c>
      <c r="F22" t="e">
        <v>#DIV/0!</v>
      </c>
      <c r="G22">
        <v>6.9824440446303759E-2</v>
      </c>
    </row>
    <row r="23" spans="1:7" x14ac:dyDescent="0.45">
      <c r="A23" t="s">
        <v>20</v>
      </c>
      <c r="B23" t="e">
        <v>#DIV/0!</v>
      </c>
      <c r="C23">
        <v>9871.6133620986893</v>
      </c>
      <c r="D23">
        <v>21202.994742076084</v>
      </c>
      <c r="E23" t="e">
        <v>#DIV/0!</v>
      </c>
      <c r="F23" t="e">
        <v>#DIV/0!</v>
      </c>
      <c r="G23">
        <v>2.6711883146501636E-2</v>
      </c>
    </row>
    <row r="24" spans="1:7" x14ac:dyDescent="0.45">
      <c r="A24" t="s">
        <v>21</v>
      </c>
      <c r="B24" t="e">
        <v>#DIV/0!</v>
      </c>
      <c r="C24">
        <v>4803.5740938166309</v>
      </c>
      <c r="D24">
        <v>6107.6260245901631</v>
      </c>
      <c r="E24" t="e">
        <v>#DIV/0!</v>
      </c>
      <c r="F24" t="e">
        <v>#DIV/0!</v>
      </c>
      <c r="G24">
        <v>8.3163876689886784E-3</v>
      </c>
    </row>
    <row r="25" spans="1:7" x14ac:dyDescent="0.45">
      <c r="A25" t="s">
        <v>22</v>
      </c>
      <c r="B25" t="e">
        <v>#DIV/0!</v>
      </c>
      <c r="C25">
        <v>34225.349025974028</v>
      </c>
      <c r="D25">
        <v>52134.964800000002</v>
      </c>
      <c r="E25" t="e">
        <v>#DIV/0!</v>
      </c>
      <c r="F25" t="e">
        <v>#DIV/0!</v>
      </c>
      <c r="G25">
        <v>1.4618554250895421E-2</v>
      </c>
    </row>
    <row r="26" spans="1:7" x14ac:dyDescent="0.45">
      <c r="A26" t="s">
        <v>23</v>
      </c>
      <c r="B26">
        <v>4499.0070845917189</v>
      </c>
      <c r="C26">
        <v>4452.9961105931707</v>
      </c>
      <c r="D26">
        <v>8468.8331900183275</v>
      </c>
      <c r="E26">
        <v>-3.4259368995603889E-4</v>
      </c>
      <c r="F26">
        <v>1.0778624740136911E-2</v>
      </c>
      <c r="G26">
        <v>2.2413547020562197E-2</v>
      </c>
    </row>
    <row r="27" spans="1:7" x14ac:dyDescent="0.45">
      <c r="A27" t="s">
        <v>24</v>
      </c>
      <c r="B27">
        <v>4007.6590605175752</v>
      </c>
      <c r="C27">
        <v>10527.439175802936</v>
      </c>
      <c r="D27">
        <v>14414.244051750893</v>
      </c>
      <c r="E27">
        <v>3.2716380717784599E-2</v>
      </c>
      <c r="F27">
        <v>2.1932127204829399E-2</v>
      </c>
      <c r="G27">
        <v>1.0894496270639653E-2</v>
      </c>
    </row>
    <row r="28" spans="1:7" x14ac:dyDescent="0.45">
      <c r="A28" t="s">
        <v>25</v>
      </c>
      <c r="B28">
        <v>4143.8425806451614</v>
      </c>
      <c r="C28">
        <v>10397.029513223457</v>
      </c>
      <c r="D28">
        <v>11690.258536585368</v>
      </c>
      <c r="E28">
        <v>3.1138179536214006E-2</v>
      </c>
      <c r="F28">
        <v>1.7733926209340334E-2</v>
      </c>
      <c r="G28">
        <v>4.0507944358991743E-3</v>
      </c>
    </row>
    <row r="29" spans="1:7" x14ac:dyDescent="0.45">
      <c r="A29" t="s">
        <v>26</v>
      </c>
      <c r="B29" t="e">
        <v>#DIV/0!</v>
      </c>
      <c r="C29">
        <v>75192.254735214534</v>
      </c>
      <c r="D29">
        <v>65546.401800138468</v>
      </c>
      <c r="E29" t="e">
        <v>#DIV/0!</v>
      </c>
      <c r="F29" t="e">
        <v>#DIV/0!</v>
      </c>
      <c r="G29">
        <v>-4.7229466062040926E-3</v>
      </c>
    </row>
    <row r="30" spans="1:7" x14ac:dyDescent="0.45">
      <c r="A30" t="s">
        <v>27</v>
      </c>
      <c r="B30" t="e">
        <v>#DIV/0!</v>
      </c>
      <c r="C30">
        <v>2779.8799924642049</v>
      </c>
      <c r="D30">
        <v>11692.620495347923</v>
      </c>
      <c r="E30" t="e">
        <v>#DIV/0!</v>
      </c>
      <c r="F30" t="e">
        <v>#DIV/0!</v>
      </c>
      <c r="G30">
        <v>5.0783642841063514E-2</v>
      </c>
    </row>
    <row r="31" spans="1:7" x14ac:dyDescent="0.45">
      <c r="A31" t="s">
        <v>28</v>
      </c>
      <c r="B31">
        <v>822.38565274395955</v>
      </c>
      <c r="C31">
        <v>8519.744327012746</v>
      </c>
      <c r="D31">
        <v>16690.04110778313</v>
      </c>
      <c r="E31">
        <v>8.1048141682360297E-2</v>
      </c>
      <c r="F31">
        <v>5.2347115372350927E-2</v>
      </c>
      <c r="G31">
        <v>2.345800952952537E-2</v>
      </c>
    </row>
    <row r="32" spans="1:7" x14ac:dyDescent="0.45">
      <c r="A32" t="s">
        <v>29</v>
      </c>
      <c r="B32">
        <v>1889.2777162629757</v>
      </c>
      <c r="C32">
        <v>1331.3745679980045</v>
      </c>
      <c r="D32">
        <v>960.6326392986598</v>
      </c>
      <c r="E32">
        <v>-1.1598304266182802E-2</v>
      </c>
      <c r="F32">
        <v>-1.1398233909264088E-2</v>
      </c>
      <c r="G32">
        <v>-1.1191221957773556E-2</v>
      </c>
    </row>
    <row r="33" spans="1:7" x14ac:dyDescent="0.45">
      <c r="A33" t="s">
        <v>30</v>
      </c>
      <c r="B33">
        <v>17293.200910240485</v>
      </c>
      <c r="C33">
        <v>35351.826166520827</v>
      </c>
      <c r="D33">
        <v>50097.224078479587</v>
      </c>
      <c r="E33">
        <v>2.4120867763557818E-2</v>
      </c>
      <c r="F33">
        <v>1.8191488556188462E-2</v>
      </c>
      <c r="G33">
        <v>1.2093771143007581E-2</v>
      </c>
    </row>
    <row r="34" spans="1:7" x14ac:dyDescent="0.45">
      <c r="A34" t="s">
        <v>31</v>
      </c>
      <c r="B34">
        <v>34262.172576293087</v>
      </c>
      <c r="C34">
        <v>60608.094785732537</v>
      </c>
      <c r="D34">
        <v>75454.204204204201</v>
      </c>
      <c r="E34">
        <v>1.91947810689439E-2</v>
      </c>
      <c r="F34">
        <v>1.3471012123464465E-2</v>
      </c>
      <c r="G34">
        <v>7.5836959310597862E-3</v>
      </c>
    </row>
    <row r="35" spans="1:7" x14ac:dyDescent="0.45">
      <c r="A35" t="s">
        <v>32</v>
      </c>
      <c r="B35">
        <v>5918.3736270672889</v>
      </c>
      <c r="C35">
        <v>9165.8488090036608</v>
      </c>
      <c r="D35">
        <v>23407.356416209368</v>
      </c>
      <c r="E35">
        <v>1.4687577986946199E-2</v>
      </c>
      <c r="F35">
        <v>2.3578573514583701E-2</v>
      </c>
      <c r="G35">
        <v>3.2858144806886536E-2</v>
      </c>
    </row>
    <row r="36" spans="1:7" x14ac:dyDescent="0.45">
      <c r="A36" t="s">
        <v>33</v>
      </c>
      <c r="B36">
        <v>1050.9126034821245</v>
      </c>
      <c r="C36">
        <v>2689.5367826064717</v>
      </c>
      <c r="D36">
        <v>14348.472506696791</v>
      </c>
      <c r="E36">
        <v>3.1819416983903226E-2</v>
      </c>
      <c r="F36">
        <v>4.5300938118628453E-2</v>
      </c>
      <c r="G36">
        <v>5.9432729327217881E-2</v>
      </c>
    </row>
    <row r="37" spans="1:7" x14ac:dyDescent="0.45">
      <c r="A37" t="s">
        <v>34</v>
      </c>
      <c r="B37">
        <v>2506.6849009295502</v>
      </c>
      <c r="C37">
        <v>3001.2574780501304</v>
      </c>
      <c r="D37">
        <v>4908.4142243306824</v>
      </c>
      <c r="E37">
        <v>6.0203913670804354E-3</v>
      </c>
      <c r="F37">
        <v>1.1454766690012885E-2</v>
      </c>
      <c r="G37">
        <v>1.7107427734615266E-2</v>
      </c>
    </row>
    <row r="38" spans="1:7" x14ac:dyDescent="0.45">
      <c r="A38" t="s">
        <v>35</v>
      </c>
      <c r="B38">
        <v>2572.0323019756447</v>
      </c>
      <c r="C38">
        <v>3032.4704119659427</v>
      </c>
      <c r="D38">
        <v>3612.9192546103786</v>
      </c>
      <c r="E38">
        <v>5.5044688711884948E-3</v>
      </c>
      <c r="F38">
        <v>5.7762752882171142E-3</v>
      </c>
      <c r="G38">
        <v>6.0575316589244199E-3</v>
      </c>
    </row>
    <row r="39" spans="1:7" x14ac:dyDescent="0.45">
      <c r="A39" t="s">
        <v>36</v>
      </c>
      <c r="B39">
        <v>2778.1777703512944</v>
      </c>
      <c r="C39">
        <v>1728.8047671327861</v>
      </c>
      <c r="D39">
        <v>1043.0910720746256</v>
      </c>
      <c r="E39">
        <v>-1.5687809053871016E-2</v>
      </c>
      <c r="F39">
        <v>-1.6466425684629971E-2</v>
      </c>
      <c r="G39">
        <v>-1.7271243041159345E-2</v>
      </c>
    </row>
    <row r="40" spans="1:7" x14ac:dyDescent="0.45">
      <c r="A40" t="s">
        <v>37</v>
      </c>
      <c r="B40">
        <v>1983.0448760884128</v>
      </c>
      <c r="C40">
        <v>4658.5735986761147</v>
      </c>
      <c r="D40">
        <v>3597.4722051853919</v>
      </c>
      <c r="E40">
        <v>2.8878314957318629E-2</v>
      </c>
      <c r="F40">
        <v>1.0146005771224598E-2</v>
      </c>
      <c r="G40">
        <v>-8.8734267989010185E-3</v>
      </c>
    </row>
    <row r="41" spans="1:7" x14ac:dyDescent="0.45">
      <c r="A41" t="s">
        <v>38</v>
      </c>
      <c r="B41">
        <v>4118.7254960820001</v>
      </c>
      <c r="C41">
        <v>7905.6157975506449</v>
      </c>
      <c r="D41">
        <v>13817.892893042032</v>
      </c>
      <c r="E41">
        <v>2.1972230730983533E-2</v>
      </c>
      <c r="F41">
        <v>2.0727494389563228E-2</v>
      </c>
      <c r="G41">
        <v>1.9441431458494751E-2</v>
      </c>
    </row>
    <row r="42" spans="1:7" x14ac:dyDescent="0.45">
      <c r="A42" t="s">
        <v>39</v>
      </c>
      <c r="B42">
        <v>1901.2756878158339</v>
      </c>
      <c r="C42">
        <v>3242.7854713313891</v>
      </c>
      <c r="D42">
        <v>3214.4818427547302</v>
      </c>
      <c r="E42">
        <v>1.7956228789463902E-2</v>
      </c>
      <c r="F42">
        <v>8.9404256036216267E-3</v>
      </c>
      <c r="G42">
        <v>-3.0224734154160604E-4</v>
      </c>
    </row>
    <row r="43" spans="1:7" x14ac:dyDescent="0.45">
      <c r="A43" t="s">
        <v>40</v>
      </c>
      <c r="B43">
        <v>1545.6520854526959</v>
      </c>
      <c r="C43">
        <v>2930.1153846153843</v>
      </c>
      <c r="D43">
        <v>7438.8099654482621</v>
      </c>
      <c r="E43">
        <v>2.1548756041258388E-2</v>
      </c>
      <c r="F43">
        <v>2.6989400653039786E-2</v>
      </c>
      <c r="G43">
        <v>3.2648147773262304E-2</v>
      </c>
    </row>
    <row r="44" spans="1:7" x14ac:dyDescent="0.45">
      <c r="A44" t="s">
        <v>41</v>
      </c>
      <c r="B44">
        <v>5347.3460293564167</v>
      </c>
      <c r="C44">
        <v>9058.1346733346145</v>
      </c>
      <c r="D44">
        <v>18630.374772168951</v>
      </c>
      <c r="E44">
        <v>1.7723999952173886E-2</v>
      </c>
      <c r="F44">
        <v>2.1381183108232449E-2</v>
      </c>
      <c r="G44">
        <v>2.5178306232826353E-2</v>
      </c>
    </row>
    <row r="45" spans="1:7" x14ac:dyDescent="0.45">
      <c r="A45" t="s">
        <v>42</v>
      </c>
      <c r="B45" t="e">
        <v>#DIV/0!</v>
      </c>
      <c r="C45" t="e">
        <v>#DIV/0!</v>
      </c>
      <c r="D45">
        <v>20685.97552019584</v>
      </c>
      <c r="E45" t="e">
        <v>#DIV/0!</v>
      </c>
      <c r="F45" t="e">
        <v>#DIV/0!</v>
      </c>
      <c r="G45" t="e">
        <v>#DIV/0!</v>
      </c>
    </row>
    <row r="46" spans="1:7" x14ac:dyDescent="0.45">
      <c r="A46" t="s">
        <v>43</v>
      </c>
      <c r="B46" t="e">
        <v>#DIV/0!</v>
      </c>
      <c r="C46">
        <v>73107.901185770752</v>
      </c>
      <c r="D46">
        <v>70717.0215716487</v>
      </c>
      <c r="E46" t="e">
        <v>#DIV/0!</v>
      </c>
      <c r="F46" t="e">
        <v>#DIV/0!</v>
      </c>
      <c r="G46">
        <v>-1.1458997347185695E-3</v>
      </c>
    </row>
    <row r="47" spans="1:7" x14ac:dyDescent="0.45">
      <c r="A47" t="s">
        <v>44</v>
      </c>
      <c r="B47">
        <v>3975.0950882712805</v>
      </c>
      <c r="C47">
        <v>20482.744390749049</v>
      </c>
      <c r="D47">
        <v>33042.944041450777</v>
      </c>
      <c r="E47">
        <v>5.6172091569805183E-2</v>
      </c>
      <c r="F47">
        <v>3.6546201874018136E-2</v>
      </c>
      <c r="G47">
        <v>1.6627245263189039E-2</v>
      </c>
    </row>
    <row r="48" spans="1:7" x14ac:dyDescent="0.45">
      <c r="A48" t="s">
        <v>45</v>
      </c>
      <c r="B48" t="e">
        <v>#DIV/0!</v>
      </c>
      <c r="C48">
        <v>21692.762477153829</v>
      </c>
      <c r="D48">
        <v>37399.179779590617</v>
      </c>
      <c r="E48" t="e">
        <v>#DIV/0!</v>
      </c>
      <c r="F48" t="e">
        <v>#DIV/0!</v>
      </c>
      <c r="G48">
        <v>1.895921346703644E-2</v>
      </c>
    </row>
    <row r="49" spans="1:7" x14ac:dyDescent="0.45">
      <c r="A49" t="s">
        <v>46</v>
      </c>
      <c r="B49">
        <v>14927.561229187815</v>
      </c>
      <c r="C49">
        <v>35639.923343537324</v>
      </c>
      <c r="D49">
        <v>51654.962462732139</v>
      </c>
      <c r="E49">
        <v>2.9433420131816268E-2</v>
      </c>
      <c r="F49">
        <v>2.12631959174443E-2</v>
      </c>
      <c r="G49">
        <v>1.2879470131098358E-2</v>
      </c>
    </row>
    <row r="50" spans="1:7" x14ac:dyDescent="0.45">
      <c r="A50" t="s">
        <v>47</v>
      </c>
      <c r="B50" t="e">
        <v>#DIV/0!</v>
      </c>
      <c r="C50">
        <v>1739.342818428184</v>
      </c>
      <c r="D50">
        <v>4907.8188167625312</v>
      </c>
      <c r="E50" t="e">
        <v>#DIV/0!</v>
      </c>
      <c r="F50" t="e">
        <v>#DIV/0!</v>
      </c>
      <c r="G50">
        <v>3.6417166409671298E-2</v>
      </c>
    </row>
    <row r="51" spans="1:7" x14ac:dyDescent="0.45">
      <c r="A51" t="s">
        <v>48</v>
      </c>
      <c r="B51" t="e">
        <v>#DIV/0!</v>
      </c>
      <c r="C51">
        <v>6960.129261363636</v>
      </c>
      <c r="D51">
        <v>10665.348189415043</v>
      </c>
      <c r="E51" t="e">
        <v>#DIV/0!</v>
      </c>
      <c r="F51" t="e">
        <v>#DIV/0!</v>
      </c>
      <c r="G51">
        <v>1.4826141566984585E-2</v>
      </c>
    </row>
    <row r="52" spans="1:7" x14ac:dyDescent="0.45">
      <c r="A52" t="s">
        <v>49</v>
      </c>
      <c r="B52">
        <v>16538.256081862412</v>
      </c>
      <c r="C52">
        <v>36222.081616774623</v>
      </c>
      <c r="D52">
        <v>53927.416673885549</v>
      </c>
      <c r="E52">
        <v>2.6477552412917715E-2</v>
      </c>
      <c r="F52">
        <v>2.0235279734800216E-2</v>
      </c>
      <c r="G52">
        <v>1.3817700397406929E-2</v>
      </c>
    </row>
    <row r="53" spans="1:7" x14ac:dyDescent="0.45">
      <c r="A53" t="s">
        <v>50</v>
      </c>
      <c r="B53">
        <v>2937.4496152325337</v>
      </c>
      <c r="C53">
        <v>5928.6180556529062</v>
      </c>
      <c r="D53">
        <v>18216.582083992922</v>
      </c>
      <c r="E53">
        <v>2.3684438772329397E-2</v>
      </c>
      <c r="F53">
        <v>3.1411913617864551E-2</v>
      </c>
      <c r="G53">
        <v>3.9467242597605701E-2</v>
      </c>
    </row>
    <row r="54" spans="1:7" x14ac:dyDescent="0.45">
      <c r="A54" t="s">
        <v>51</v>
      </c>
      <c r="B54">
        <v>6475.87814740262</v>
      </c>
      <c r="C54">
        <v>8501.2382865727959</v>
      </c>
      <c r="D54">
        <v>11187.977753053787</v>
      </c>
      <c r="E54">
        <v>9.1121859449423415E-3</v>
      </c>
      <c r="F54">
        <v>9.3101155078625375E-3</v>
      </c>
      <c r="G54">
        <v>9.5149110817061011E-3</v>
      </c>
    </row>
    <row r="55" spans="1:7" x14ac:dyDescent="0.45">
      <c r="A55" t="s">
        <v>52</v>
      </c>
      <c r="B55">
        <v>4732.7702484100428</v>
      </c>
      <c r="C55">
        <v>8147.5427674984612</v>
      </c>
      <c r="D55">
        <v>11174.754260750446</v>
      </c>
      <c r="E55">
        <v>1.8271778809002104E-2</v>
      </c>
      <c r="F55">
        <v>1.4668343694687724E-2</v>
      </c>
      <c r="G55">
        <v>1.0954070552793294E-2</v>
      </c>
    </row>
    <row r="56" spans="1:7" x14ac:dyDescent="0.45">
      <c r="A56" t="s">
        <v>53</v>
      </c>
      <c r="B56">
        <v>1876.8049249767196</v>
      </c>
      <c r="C56">
        <v>6340.6728482484032</v>
      </c>
      <c r="D56">
        <v>12826.111859871839</v>
      </c>
      <c r="E56">
        <v>4.1415107867864398E-2</v>
      </c>
      <c r="F56">
        <v>3.3111150491538011E-2</v>
      </c>
      <c r="G56">
        <v>2.459052102965642E-2</v>
      </c>
    </row>
    <row r="57" spans="1:7" x14ac:dyDescent="0.45">
      <c r="A57" t="s">
        <v>54</v>
      </c>
      <c r="B57">
        <v>8581.5529597556742</v>
      </c>
      <c r="C57">
        <v>26924.902748549201</v>
      </c>
      <c r="D57">
        <v>40574.35200955136</v>
      </c>
      <c r="E57">
        <v>3.8850233847763427E-2</v>
      </c>
      <c r="F57">
        <v>2.6680588667251204E-2</v>
      </c>
      <c r="G57">
        <v>1.4241300638719867E-2</v>
      </c>
    </row>
    <row r="58" spans="1:7" x14ac:dyDescent="0.45">
      <c r="A58" t="s">
        <v>55</v>
      </c>
      <c r="B58" t="e">
        <v>#DIV/0!</v>
      </c>
      <c r="C58">
        <v>15288.65371837465</v>
      </c>
      <c r="D58">
        <v>33787.371077248041</v>
      </c>
      <c r="E58" t="e">
        <v>#DIV/0!</v>
      </c>
      <c r="F58" t="e">
        <v>#DIV/0!</v>
      </c>
      <c r="G58">
        <v>2.7721282676503201E-2</v>
      </c>
    </row>
    <row r="59" spans="1:7" x14ac:dyDescent="0.45">
      <c r="A59" t="s">
        <v>56</v>
      </c>
      <c r="B59">
        <v>667.87372075160806</v>
      </c>
      <c r="C59">
        <v>767.09103761075346</v>
      </c>
      <c r="D59">
        <v>2225.5541757711321</v>
      </c>
      <c r="E59">
        <v>4.6275532921817852E-3</v>
      </c>
      <c r="F59">
        <v>2.0610576710066164E-2</v>
      </c>
      <c r="G59">
        <v>3.741237156253252E-2</v>
      </c>
    </row>
    <row r="60" spans="1:7" x14ac:dyDescent="0.45">
      <c r="A60" t="s">
        <v>57</v>
      </c>
      <c r="B60">
        <v>10779.835595436714</v>
      </c>
      <c r="C60">
        <v>30282.802429846684</v>
      </c>
      <c r="D60">
        <v>44832.511821698419</v>
      </c>
      <c r="E60">
        <v>3.5029665554171086E-2</v>
      </c>
      <c r="F60">
        <v>2.4451027273755033E-2</v>
      </c>
      <c r="G60">
        <v>1.3621371841408658E-2</v>
      </c>
    </row>
    <row r="61" spans="1:7" x14ac:dyDescent="0.45">
      <c r="A61" t="s">
        <v>58</v>
      </c>
      <c r="B61">
        <v>4558.4717557251906</v>
      </c>
      <c r="C61">
        <v>8605.1708756519347</v>
      </c>
      <c r="D61">
        <v>13532.576629213483</v>
      </c>
      <c r="E61">
        <v>2.1405066298717967E-2</v>
      </c>
      <c r="F61">
        <v>1.8613698424823744E-2</v>
      </c>
      <c r="G61">
        <v>1.5734103791369192E-2</v>
      </c>
    </row>
    <row r="62" spans="1:7" x14ac:dyDescent="0.45">
      <c r="A62" t="s">
        <v>59</v>
      </c>
      <c r="B62">
        <v>12699.275032014637</v>
      </c>
      <c r="C62">
        <v>32452.037581758268</v>
      </c>
      <c r="D62">
        <v>44027.998016367928</v>
      </c>
      <c r="E62">
        <v>3.1768112026242745E-2</v>
      </c>
      <c r="F62">
        <v>2.1296150776928702E-2</v>
      </c>
      <c r="G62">
        <v>1.0574920533562793E-2</v>
      </c>
    </row>
    <row r="63" spans="1:7" x14ac:dyDescent="0.45">
      <c r="A63" t="s">
        <v>60</v>
      </c>
      <c r="B63">
        <v>5757.7382537196554</v>
      </c>
      <c r="C63">
        <v>18736.283938915221</v>
      </c>
      <c r="D63">
        <v>14734.554450888336</v>
      </c>
      <c r="E63">
        <v>4.011426183963418E-2</v>
      </c>
      <c r="F63">
        <v>1.6053781312329596E-2</v>
      </c>
      <c r="G63">
        <v>-8.2508281163263808E-3</v>
      </c>
    </row>
    <row r="64" spans="1:7" x14ac:dyDescent="0.45">
      <c r="A64" t="s">
        <v>61</v>
      </c>
      <c r="B64">
        <v>14951.962224443727</v>
      </c>
      <c r="C64">
        <v>29721.58410694783</v>
      </c>
      <c r="D64">
        <v>44671.794989500995</v>
      </c>
      <c r="E64">
        <v>2.3165274453471607E-2</v>
      </c>
      <c r="F64">
        <v>1.8723979478376007E-2</v>
      </c>
      <c r="G64">
        <v>1.4149822522454336E-2</v>
      </c>
    </row>
    <row r="65" spans="1:7" x14ac:dyDescent="0.45">
      <c r="A65" t="s">
        <v>62</v>
      </c>
      <c r="B65" t="e">
        <v>#DIV/0!</v>
      </c>
      <c r="C65">
        <v>11179.272493715805</v>
      </c>
      <c r="D65">
        <v>15889.917984387512</v>
      </c>
      <c r="E65" t="e">
        <v>#DIV/0!</v>
      </c>
      <c r="F65" t="e">
        <v>#DIV/0!</v>
      </c>
      <c r="G65">
        <v>1.2198750856823093E-2</v>
      </c>
    </row>
    <row r="66" spans="1:7" x14ac:dyDescent="0.45">
      <c r="A66" t="s">
        <v>63</v>
      </c>
      <c r="B66">
        <v>2855.973973395026</v>
      </c>
      <c r="C66">
        <v>2395.5735888393251</v>
      </c>
      <c r="D66">
        <v>5503.7299188964398</v>
      </c>
      <c r="E66">
        <v>-5.8425400908679315E-3</v>
      </c>
      <c r="F66">
        <v>1.1180910399754884E-2</v>
      </c>
      <c r="G66">
        <v>2.9098188467528097E-2</v>
      </c>
    </row>
    <row r="67" spans="1:7" x14ac:dyDescent="0.45">
      <c r="A67" t="s">
        <v>64</v>
      </c>
      <c r="B67">
        <v>1566.7883617816676</v>
      </c>
      <c r="C67">
        <v>1494.1080396077011</v>
      </c>
      <c r="D67">
        <v>2567.981019794538</v>
      </c>
      <c r="E67">
        <v>-1.5820304351154002E-3</v>
      </c>
      <c r="F67">
        <v>8.4096061055924931E-3</v>
      </c>
      <c r="G67">
        <v>1.8851016296757006E-2</v>
      </c>
    </row>
    <row r="68" spans="1:7" x14ac:dyDescent="0.45">
      <c r="A68" t="s">
        <v>65</v>
      </c>
      <c r="B68">
        <v>2622.7106433442041</v>
      </c>
      <c r="C68">
        <v>2394.5502302218501</v>
      </c>
      <c r="D68">
        <v>2360.6246965114792</v>
      </c>
      <c r="E68">
        <v>-3.0291681749194943E-3</v>
      </c>
      <c r="F68">
        <v>-1.782851095950666E-3</v>
      </c>
      <c r="G68">
        <v>-4.9191800281389586E-4</v>
      </c>
    </row>
    <row r="69" spans="1:7" x14ac:dyDescent="0.45">
      <c r="A69" t="s">
        <v>66</v>
      </c>
      <c r="B69">
        <v>1979.3316217372701</v>
      </c>
      <c r="C69">
        <v>1761.3179534502206</v>
      </c>
      <c r="D69">
        <v>1960.5211619553334</v>
      </c>
      <c r="E69">
        <v>-3.8823393892130076E-3</v>
      </c>
      <c r="F69">
        <v>-1.6183243058542907E-4</v>
      </c>
      <c r="G69">
        <v>3.701591646725122E-3</v>
      </c>
    </row>
    <row r="70" spans="1:7" x14ac:dyDescent="0.45">
      <c r="A70" t="s">
        <v>67</v>
      </c>
      <c r="B70">
        <v>2374.4122582998907</v>
      </c>
      <c r="C70">
        <v>3303.2309160305344</v>
      </c>
      <c r="D70">
        <v>20985.484070796458</v>
      </c>
      <c r="E70">
        <v>1.1065815449895489E-2</v>
      </c>
      <c r="F70">
        <v>3.7624096167897081E-2</v>
      </c>
      <c r="G70">
        <v>6.5832521122427767E-2</v>
      </c>
    </row>
    <row r="71" spans="1:7" x14ac:dyDescent="0.45">
      <c r="A71" t="s">
        <v>68</v>
      </c>
      <c r="B71">
        <v>7240.6783180987204</v>
      </c>
      <c r="C71">
        <v>22017.229366321139</v>
      </c>
      <c r="D71">
        <v>27640.542206521219</v>
      </c>
      <c r="E71">
        <v>3.7766021910792036E-2</v>
      </c>
      <c r="F71">
        <v>2.2964264839418824E-2</v>
      </c>
      <c r="G71">
        <v>7.8742301542220616E-3</v>
      </c>
    </row>
    <row r="72" spans="1:7" x14ac:dyDescent="0.45">
      <c r="A72" t="s">
        <v>69</v>
      </c>
      <c r="B72" t="e">
        <v>#DIV/0!</v>
      </c>
      <c r="C72">
        <v>7566.0166147455866</v>
      </c>
      <c r="D72">
        <v>14899.607142857143</v>
      </c>
      <c r="E72" t="e">
        <v>#DIV/0!</v>
      </c>
      <c r="F72" t="e">
        <v>#DIV/0!</v>
      </c>
      <c r="G72">
        <v>2.3643034120477635E-2</v>
      </c>
    </row>
    <row r="73" spans="1:7" x14ac:dyDescent="0.45">
      <c r="A73" t="s">
        <v>70</v>
      </c>
      <c r="B73">
        <v>3376.7094239641865</v>
      </c>
      <c r="C73">
        <v>5155.7305101578186</v>
      </c>
      <c r="D73">
        <v>7742.2965901657999</v>
      </c>
      <c r="E73">
        <v>1.4206876063629137E-2</v>
      </c>
      <c r="F73">
        <v>1.4163718593353192E-2</v>
      </c>
      <c r="G73">
        <v>1.4119074867004588E-2</v>
      </c>
    </row>
    <row r="74" spans="1:7" x14ac:dyDescent="0.45">
      <c r="A74" t="s">
        <v>71</v>
      </c>
      <c r="B74" t="e">
        <v>#DIV/0!</v>
      </c>
      <c r="C74">
        <v>2979.472756625858</v>
      </c>
      <c r="D74">
        <v>13280.586356668369</v>
      </c>
      <c r="E74" t="e">
        <v>#DIV/0!</v>
      </c>
      <c r="F74" t="e">
        <v>#DIV/0!</v>
      </c>
      <c r="G74">
        <v>5.2887559310018872E-2</v>
      </c>
    </row>
    <row r="75" spans="1:7" x14ac:dyDescent="0.45">
      <c r="A75" t="s">
        <v>72</v>
      </c>
      <c r="B75">
        <v>4421.1285035788351</v>
      </c>
      <c r="C75">
        <v>23649.458684683737</v>
      </c>
      <c r="D75">
        <v>49821.489806621656</v>
      </c>
      <c r="E75">
        <v>5.7489999159697991E-2</v>
      </c>
      <c r="F75">
        <v>4.1905990684317329E-2</v>
      </c>
      <c r="G75">
        <v>2.6026235204420933E-2</v>
      </c>
    </row>
    <row r="76" spans="1:7" x14ac:dyDescent="0.45">
      <c r="A76" t="s">
        <v>73</v>
      </c>
      <c r="B76">
        <v>3091.8083311637592</v>
      </c>
      <c r="C76">
        <v>3792.805723165096</v>
      </c>
      <c r="D76">
        <v>5506.5447614943414</v>
      </c>
      <c r="E76">
        <v>6.8349155237246162E-3</v>
      </c>
      <c r="F76">
        <v>9.8307395696015654E-3</v>
      </c>
      <c r="G76">
        <v>1.2939248618990762E-2</v>
      </c>
    </row>
    <row r="77" spans="1:7" x14ac:dyDescent="0.45">
      <c r="A77" t="s">
        <v>74</v>
      </c>
      <c r="B77" t="e">
        <v>#DIV/0!</v>
      </c>
      <c r="C77">
        <v>19159.456201323173</v>
      </c>
      <c r="D77">
        <v>27148.845120209186</v>
      </c>
      <c r="E77" t="e">
        <v>#DIV/0!</v>
      </c>
      <c r="F77" t="e">
        <v>#DIV/0!</v>
      </c>
      <c r="G77">
        <v>1.2091068854898301E-2</v>
      </c>
    </row>
    <row r="78" spans="1:7" x14ac:dyDescent="0.45">
      <c r="A78" t="s">
        <v>75</v>
      </c>
      <c r="B78">
        <v>2382.2987050510887</v>
      </c>
      <c r="C78">
        <v>2114.6590318134672</v>
      </c>
      <c r="D78">
        <v>1621.1804565350569</v>
      </c>
      <c r="E78">
        <v>-3.9645297121936318E-3</v>
      </c>
      <c r="F78">
        <v>-6.5026858281215238E-3</v>
      </c>
      <c r="G78">
        <v>-9.1215584988587617E-3</v>
      </c>
    </row>
    <row r="79" spans="1:7" x14ac:dyDescent="0.45">
      <c r="A79" t="s">
        <v>76</v>
      </c>
      <c r="B79" t="e">
        <v>#DIV/0!</v>
      </c>
      <c r="C79">
        <v>16917.419124803655</v>
      </c>
      <c r="D79">
        <v>29800.210001342322</v>
      </c>
      <c r="E79" t="e">
        <v>#DIV/0!</v>
      </c>
      <c r="F79" t="e">
        <v>#DIV/0!</v>
      </c>
      <c r="G79">
        <v>1.9714982903586087E-2</v>
      </c>
    </row>
    <row r="80" spans="1:7" x14ac:dyDescent="0.45">
      <c r="A80" t="s">
        <v>77</v>
      </c>
      <c r="B80">
        <v>1561.7046341282694</v>
      </c>
      <c r="C80">
        <v>4251.842013667766</v>
      </c>
      <c r="D80">
        <v>11493.626249696998</v>
      </c>
      <c r="E80">
        <v>3.3949372551844048E-2</v>
      </c>
      <c r="F80">
        <v>3.4409526055094508E-2</v>
      </c>
      <c r="G80">
        <v>3.4885762424700761E-2</v>
      </c>
    </row>
    <row r="81" spans="1:7" x14ac:dyDescent="0.45">
      <c r="A81" t="s">
        <v>78</v>
      </c>
      <c r="B81">
        <v>1002.5485677230621</v>
      </c>
      <c r="C81">
        <v>1810.5468557657141</v>
      </c>
      <c r="D81">
        <v>6705.8933219400396</v>
      </c>
      <c r="E81">
        <v>1.9898167786692511E-2</v>
      </c>
      <c r="F81">
        <v>3.2735256707036253E-2</v>
      </c>
      <c r="G81">
        <v>4.6185057610368618E-2</v>
      </c>
    </row>
    <row r="82" spans="1:7" x14ac:dyDescent="0.45">
      <c r="A82" t="s">
        <v>79</v>
      </c>
      <c r="B82">
        <v>10589.088932664758</v>
      </c>
      <c r="C82">
        <v>29263.432282320773</v>
      </c>
      <c r="D82">
        <v>96812.218392217095</v>
      </c>
      <c r="E82">
        <v>3.4464414518552422E-2</v>
      </c>
      <c r="F82">
        <v>3.8219899565889781E-2</v>
      </c>
      <c r="G82">
        <v>4.2119231784815581E-2</v>
      </c>
    </row>
    <row r="83" spans="1:7" x14ac:dyDescent="0.45">
      <c r="A83" t="s">
        <v>80</v>
      </c>
      <c r="B83">
        <v>11680.373965641937</v>
      </c>
      <c r="C83">
        <v>8073.2313868949832</v>
      </c>
      <c r="D83">
        <v>12079.871408774645</v>
      </c>
      <c r="E83">
        <v>-1.2236391409455205E-2</v>
      </c>
      <c r="F83">
        <v>5.701718588777549E-4</v>
      </c>
      <c r="G83">
        <v>1.3993093486140529E-2</v>
      </c>
    </row>
    <row r="84" spans="1:7" x14ac:dyDescent="0.45">
      <c r="A84" t="s">
        <v>81</v>
      </c>
      <c r="B84" t="e">
        <v>#DIV/0!</v>
      </c>
      <c r="C84">
        <v>8864.7276897199063</v>
      </c>
      <c r="D84">
        <v>11595.200179090201</v>
      </c>
      <c r="E84" t="e">
        <v>#DIV/0!</v>
      </c>
      <c r="F84" t="e">
        <v>#DIV/0!</v>
      </c>
      <c r="G84">
        <v>9.3019976017765238E-3</v>
      </c>
    </row>
    <row r="85" spans="1:7" x14ac:dyDescent="0.45">
      <c r="A85" t="s">
        <v>82</v>
      </c>
      <c r="B85">
        <v>11408.558773424191</v>
      </c>
      <c r="C85">
        <v>29996.019215686276</v>
      </c>
      <c r="D85">
        <v>52021.709144542772</v>
      </c>
      <c r="E85">
        <v>3.2748155437599236E-2</v>
      </c>
      <c r="F85">
        <v>2.6050435461316246E-2</v>
      </c>
      <c r="G85">
        <v>1.9167465747758961E-2</v>
      </c>
    </row>
    <row r="86" spans="1:7" x14ac:dyDescent="0.45">
      <c r="A86" t="s">
        <v>83</v>
      </c>
      <c r="B86">
        <v>9403.9886763359518</v>
      </c>
      <c r="C86">
        <v>22788.530707670172</v>
      </c>
      <c r="D86">
        <v>40383.059546446937</v>
      </c>
      <c r="E86">
        <v>2.9943673465516296E-2</v>
      </c>
      <c r="F86">
        <v>2.5007163028968993E-2</v>
      </c>
      <c r="G86">
        <v>1.9925325263491445E-2</v>
      </c>
    </row>
    <row r="87" spans="1:7" x14ac:dyDescent="0.45">
      <c r="A87" t="s">
        <v>84</v>
      </c>
      <c r="B87">
        <v>11717.270037112052</v>
      </c>
      <c r="C87">
        <v>35262.964037427999</v>
      </c>
      <c r="D87">
        <v>40756.55531535043</v>
      </c>
      <c r="E87">
        <v>3.7408365719781678E-2</v>
      </c>
      <c r="F87">
        <v>2.1352791458488785E-2</v>
      </c>
      <c r="G87">
        <v>5.0050164806267894E-3</v>
      </c>
    </row>
    <row r="88" spans="1:7" x14ac:dyDescent="0.45">
      <c r="A88" t="s">
        <v>85</v>
      </c>
      <c r="B88">
        <v>6448.9517972818494</v>
      </c>
      <c r="C88">
        <v>7696.9565684532417</v>
      </c>
      <c r="D88">
        <v>8357.3591561238682</v>
      </c>
      <c r="E88">
        <v>5.9143341630714108E-3</v>
      </c>
      <c r="F88">
        <v>4.4033082513326161E-3</v>
      </c>
      <c r="G88">
        <v>2.8425664832623099E-3</v>
      </c>
    </row>
    <row r="89" spans="1:7" x14ac:dyDescent="0.45">
      <c r="A89" t="s">
        <v>86</v>
      </c>
      <c r="B89">
        <v>7567.86242025108</v>
      </c>
      <c r="C89">
        <v>8382.4543873916828</v>
      </c>
      <c r="D89">
        <v>10652.070780165715</v>
      </c>
      <c r="E89">
        <v>3.4134828918517268E-3</v>
      </c>
      <c r="F89">
        <v>5.8107777958957829E-3</v>
      </c>
      <c r="G89">
        <v>8.2967653328243074E-3</v>
      </c>
    </row>
    <row r="90" spans="1:7" x14ac:dyDescent="0.45">
      <c r="A90" t="s">
        <v>87</v>
      </c>
      <c r="B90">
        <v>6443.6652187468626</v>
      </c>
      <c r="C90">
        <v>31012.156520370234</v>
      </c>
      <c r="D90">
        <v>40195.821703085996</v>
      </c>
      <c r="E90">
        <v>5.3771948149786253E-2</v>
      </c>
      <c r="F90">
        <v>3.1514622624930988E-2</v>
      </c>
      <c r="G90">
        <v>8.9843877344160106E-3</v>
      </c>
    </row>
    <row r="91" spans="1:7" x14ac:dyDescent="0.45">
      <c r="A91" t="s">
        <v>88</v>
      </c>
      <c r="B91" t="e">
        <v>#DIV/0!</v>
      </c>
      <c r="C91">
        <v>14136.863207172895</v>
      </c>
      <c r="D91">
        <v>27642.698125208877</v>
      </c>
      <c r="E91" t="e">
        <v>#DIV/0!</v>
      </c>
      <c r="F91" t="e">
        <v>#DIV/0!</v>
      </c>
      <c r="G91">
        <v>2.339272008531279E-2</v>
      </c>
    </row>
    <row r="92" spans="1:7" x14ac:dyDescent="0.45">
      <c r="A92" t="s">
        <v>89</v>
      </c>
      <c r="B92">
        <v>2572.3772159929722</v>
      </c>
      <c r="C92">
        <v>3206.9040405317687</v>
      </c>
      <c r="D92">
        <v>4328.4525145509187</v>
      </c>
      <c r="E92">
        <v>7.3762562098091955E-3</v>
      </c>
      <c r="F92">
        <v>8.859004532981718E-3</v>
      </c>
      <c r="G92">
        <v>1.0395178774420755E-2</v>
      </c>
    </row>
    <row r="93" spans="1:7" x14ac:dyDescent="0.45">
      <c r="A93" t="s">
        <v>90</v>
      </c>
      <c r="B93" t="e">
        <v>#DIV/0!</v>
      </c>
      <c r="C93">
        <v>6186.4342198541026</v>
      </c>
      <c r="D93">
        <v>6314.2763447061207</v>
      </c>
      <c r="E93" t="e">
        <v>#DIV/0!</v>
      </c>
      <c r="F93" t="e">
        <v>#DIV/0!</v>
      </c>
      <c r="G93">
        <v>7.0556915534036868E-4</v>
      </c>
    </row>
    <row r="94" spans="1:7" x14ac:dyDescent="0.45">
      <c r="A94" t="s">
        <v>91</v>
      </c>
      <c r="B94" t="e">
        <v>#DIV/0!</v>
      </c>
      <c r="C94">
        <v>1045.1089063683764</v>
      </c>
      <c r="D94">
        <v>4412.788493615989</v>
      </c>
      <c r="E94" t="e">
        <v>#DIV/0!</v>
      </c>
      <c r="F94" t="e">
        <v>#DIV/0!</v>
      </c>
      <c r="G94">
        <v>5.0922628936736603E-2</v>
      </c>
    </row>
    <row r="95" spans="1:7" x14ac:dyDescent="0.45">
      <c r="A95" t="s">
        <v>92</v>
      </c>
      <c r="B95" t="e">
        <v>#DIV/0!</v>
      </c>
      <c r="C95">
        <v>12759.111662531015</v>
      </c>
      <c r="D95">
        <v>22213.636363636368</v>
      </c>
      <c r="E95" t="e">
        <v>#DIV/0!</v>
      </c>
      <c r="F95" t="e">
        <v>#DIV/0!</v>
      </c>
      <c r="G95">
        <v>1.9303279190872269E-2</v>
      </c>
    </row>
    <row r="96" spans="1:7" x14ac:dyDescent="0.45">
      <c r="A96" t="s">
        <v>93</v>
      </c>
      <c r="B96">
        <v>1640.6614611322339</v>
      </c>
      <c r="C96">
        <v>12551.322684443037</v>
      </c>
      <c r="D96">
        <v>42813.458388725885</v>
      </c>
      <c r="E96">
        <v>7.0177174870688974E-2</v>
      </c>
      <c r="F96">
        <v>5.6840661281907456E-2</v>
      </c>
      <c r="G96">
        <v>4.3219137311521827E-2</v>
      </c>
    </row>
    <row r="97" spans="1:7" x14ac:dyDescent="0.45">
      <c r="A97" t="s">
        <v>94</v>
      </c>
      <c r="B97" t="e">
        <v>#DIV/0!</v>
      </c>
      <c r="C97">
        <v>33227.543502123801</v>
      </c>
      <c r="D97">
        <v>55162.09205866274</v>
      </c>
      <c r="E97" t="e">
        <v>#DIV/0!</v>
      </c>
      <c r="F97" t="e">
        <v>#DIV/0!</v>
      </c>
      <c r="G97">
        <v>1.7632856001338126E-2</v>
      </c>
    </row>
    <row r="98" spans="1:7" x14ac:dyDescent="0.45">
      <c r="A98" t="s">
        <v>95</v>
      </c>
      <c r="B98" t="e">
        <v>#DIV/0!</v>
      </c>
      <c r="C98">
        <v>1946.3114242104029</v>
      </c>
      <c r="D98">
        <v>7835.6650812469479</v>
      </c>
      <c r="E98" t="e">
        <v>#DIV/0!</v>
      </c>
      <c r="F98" t="e">
        <v>#DIV/0!</v>
      </c>
      <c r="G98">
        <v>4.9197780505516153E-2</v>
      </c>
    </row>
    <row r="99" spans="1:7" x14ac:dyDescent="0.45">
      <c r="A99" t="s">
        <v>96</v>
      </c>
      <c r="B99" t="e">
        <v>#DIV/0!</v>
      </c>
      <c r="C99">
        <v>10319.690973956474</v>
      </c>
      <c r="D99">
        <v>14675.257683387546</v>
      </c>
      <c r="E99" t="e">
        <v>#DIV/0!</v>
      </c>
      <c r="F99" t="e">
        <v>#DIV/0!</v>
      </c>
      <c r="G99">
        <v>1.2215703027744995E-2</v>
      </c>
    </row>
    <row r="100" spans="1:7" x14ac:dyDescent="0.45">
      <c r="A100" t="s">
        <v>97</v>
      </c>
      <c r="B100" t="e">
        <v>#DIV/0!</v>
      </c>
      <c r="C100">
        <v>1018.9140131990944</v>
      </c>
      <c r="D100">
        <v>1297.6149795438894</v>
      </c>
      <c r="E100" t="e">
        <v>#DIV/0!</v>
      </c>
      <c r="F100" t="e">
        <v>#DIV/0!</v>
      </c>
      <c r="G100">
        <v>8.3724608874604645E-3</v>
      </c>
    </row>
    <row r="101" spans="1:7" x14ac:dyDescent="0.45">
      <c r="A101" t="s">
        <v>98</v>
      </c>
      <c r="B101" t="e">
        <v>#DIV/0!</v>
      </c>
      <c r="C101">
        <v>8920.5746376811585</v>
      </c>
      <c r="D101">
        <v>12336.51148796499</v>
      </c>
      <c r="E101" t="e">
        <v>#DIV/0!</v>
      </c>
      <c r="F101" t="e">
        <v>#DIV/0!</v>
      </c>
      <c r="G101">
        <v>1.1242133931301135E-2</v>
      </c>
    </row>
    <row r="102" spans="1:7" x14ac:dyDescent="0.45">
      <c r="A102" t="s">
        <v>99</v>
      </c>
      <c r="B102">
        <v>1574.7492914670202</v>
      </c>
      <c r="C102">
        <v>3846.6265800136216</v>
      </c>
      <c r="D102">
        <v>13331.020765626979</v>
      </c>
      <c r="E102">
        <v>3.0217572860227415E-2</v>
      </c>
      <c r="F102">
        <v>3.6866671509821813E-2</v>
      </c>
      <c r="G102">
        <v>4.3790211722118277E-2</v>
      </c>
    </row>
    <row r="103" spans="1:7" x14ac:dyDescent="0.45">
      <c r="A103" t="s">
        <v>100</v>
      </c>
      <c r="B103">
        <v>565.80031408552793</v>
      </c>
      <c r="C103">
        <v>1285.0859306215884</v>
      </c>
      <c r="D103">
        <v>3016.8224721215825</v>
      </c>
      <c r="E103">
        <v>2.7721951348766982E-2</v>
      </c>
      <c r="F103">
        <v>2.8774311452425261E-2</v>
      </c>
      <c r="G103">
        <v>2.9864093815800574E-2</v>
      </c>
    </row>
    <row r="104" spans="1:7" x14ac:dyDescent="0.45">
      <c r="A104" t="s">
        <v>101</v>
      </c>
      <c r="B104" t="e">
        <v>#DIV/0!</v>
      </c>
      <c r="C104">
        <v>16015.369237012987</v>
      </c>
      <c r="D104">
        <v>33358.681403101895</v>
      </c>
      <c r="E104" t="e">
        <v>#DIV/0!</v>
      </c>
      <c r="F104" t="e">
        <v>#DIV/0!</v>
      </c>
      <c r="G104">
        <v>2.5625208977310576E-2</v>
      </c>
    </row>
    <row r="105" spans="1:7" x14ac:dyDescent="0.45">
      <c r="A105" t="s">
        <v>102</v>
      </c>
      <c r="B105">
        <v>22074.229325699744</v>
      </c>
      <c r="C105">
        <v>54167.676270298587</v>
      </c>
      <c r="D105">
        <v>91869.226571382169</v>
      </c>
      <c r="E105">
        <v>3.0374625904533659E-2</v>
      </c>
      <c r="F105">
        <v>2.4463164645930124E-2</v>
      </c>
      <c r="G105">
        <v>1.8383547149907642E-2</v>
      </c>
    </row>
    <row r="106" spans="1:7" x14ac:dyDescent="0.45">
      <c r="A106" t="s">
        <v>103</v>
      </c>
      <c r="B106" t="e">
        <v>#DIV/0!</v>
      </c>
      <c r="C106">
        <v>17025.979394985738</v>
      </c>
      <c r="D106">
        <v>29507.292547333087</v>
      </c>
      <c r="E106" t="e">
        <v>#DIV/0!</v>
      </c>
      <c r="F106" t="e">
        <v>#DIV/0!</v>
      </c>
      <c r="G106">
        <v>1.9142887435206646E-2</v>
      </c>
    </row>
    <row r="107" spans="1:7" x14ac:dyDescent="0.45">
      <c r="A107" t="s">
        <v>104</v>
      </c>
      <c r="B107" t="e">
        <v>#DIV/0!</v>
      </c>
      <c r="C107">
        <v>35909.02675974404</v>
      </c>
      <c r="D107">
        <v>91877.445971267967</v>
      </c>
      <c r="E107" t="e">
        <v>#DIV/0!</v>
      </c>
      <c r="F107" t="e">
        <v>#DIV/0!</v>
      </c>
      <c r="G107">
        <v>3.2925853221022816E-2</v>
      </c>
    </row>
    <row r="108" spans="1:7" x14ac:dyDescent="0.45">
      <c r="A108" t="s">
        <v>105</v>
      </c>
      <c r="B108">
        <v>1467.7973515762521</v>
      </c>
      <c r="C108">
        <v>3742.7708999294564</v>
      </c>
      <c r="D108">
        <v>7964.5155654505661</v>
      </c>
      <c r="E108">
        <v>3.1693999957655539E-2</v>
      </c>
      <c r="F108">
        <v>2.9079764370607775E-2</v>
      </c>
      <c r="G108">
        <v>2.6382353376917411E-2</v>
      </c>
    </row>
    <row r="109" spans="1:7" x14ac:dyDescent="0.45">
      <c r="A109" t="s">
        <v>106</v>
      </c>
      <c r="B109" t="e">
        <v>#DIV/0!</v>
      </c>
      <c r="C109">
        <v>11232.544644493313</v>
      </c>
      <c r="D109">
        <v>9854.2216011673627</v>
      </c>
      <c r="E109" t="e">
        <v>#DIV/0!</v>
      </c>
      <c r="F109" t="e">
        <v>#DIV/0!</v>
      </c>
      <c r="G109">
        <v>-4.5041493507166352E-3</v>
      </c>
    </row>
    <row r="110" spans="1:7" x14ac:dyDescent="0.45">
      <c r="A110" t="s">
        <v>107</v>
      </c>
      <c r="B110">
        <v>2523.3834055890247</v>
      </c>
      <c r="C110">
        <v>1908.8894607969928</v>
      </c>
      <c r="D110">
        <v>1667.2817574056428</v>
      </c>
      <c r="E110">
        <v>-9.2594971554667005E-3</v>
      </c>
      <c r="F110">
        <v>-6.9992212667502329E-3</v>
      </c>
      <c r="G110">
        <v>-4.6555783072030898E-3</v>
      </c>
    </row>
    <row r="111" spans="1:7" x14ac:dyDescent="0.45">
      <c r="A111" t="s">
        <v>108</v>
      </c>
      <c r="B111" t="e">
        <v>#DIV/0!</v>
      </c>
      <c r="C111">
        <v>9280.9327956989237</v>
      </c>
      <c r="D111">
        <v>20828.838606403013</v>
      </c>
      <c r="E111" t="e">
        <v>#DIV/0!</v>
      </c>
      <c r="F111" t="e">
        <v>#DIV/0!</v>
      </c>
      <c r="G111">
        <v>2.8267194031690979E-2</v>
      </c>
    </row>
    <row r="112" spans="1:7" x14ac:dyDescent="0.45">
      <c r="A112" t="s">
        <v>109</v>
      </c>
      <c r="B112">
        <v>7289.0354978653995</v>
      </c>
      <c r="C112">
        <v>14088.028080926246</v>
      </c>
      <c r="D112">
        <v>18862.632323604452</v>
      </c>
      <c r="E112">
        <v>2.220814735606802E-2</v>
      </c>
      <c r="F112">
        <v>1.6246005213091941E-2</v>
      </c>
      <c r="G112">
        <v>1.0114863732840096E-2</v>
      </c>
    </row>
    <row r="113" spans="1:7" x14ac:dyDescent="0.45">
      <c r="A113" t="s">
        <v>110</v>
      </c>
      <c r="B113" t="e">
        <v>#DIV/0!</v>
      </c>
      <c r="C113">
        <v>10233.643121931669</v>
      </c>
      <c r="D113">
        <v>16193.837005039599</v>
      </c>
      <c r="E113" t="e">
        <v>#DIV/0!</v>
      </c>
      <c r="F113" t="e">
        <v>#DIV/0!</v>
      </c>
      <c r="G113">
        <v>1.595175777159108E-2</v>
      </c>
    </row>
    <row r="114" spans="1:7" x14ac:dyDescent="0.45">
      <c r="A114" t="s">
        <v>111</v>
      </c>
      <c r="B114">
        <v>310.67456909962044</v>
      </c>
      <c r="C114">
        <v>405.43529509224965</v>
      </c>
      <c r="D114">
        <v>2402.4140960423238</v>
      </c>
      <c r="E114">
        <v>8.9133336076254732E-3</v>
      </c>
      <c r="F114">
        <v>3.5277193361129999E-2</v>
      </c>
      <c r="G114">
        <v>6.3275323694633956E-2</v>
      </c>
    </row>
    <row r="115" spans="1:7" x14ac:dyDescent="0.45">
      <c r="A115" t="s">
        <v>112</v>
      </c>
      <c r="B115">
        <v>2508.8703423205088</v>
      </c>
      <c r="C115">
        <v>13910.435359116022</v>
      </c>
      <c r="D115">
        <v>39270.757947320613</v>
      </c>
      <c r="E115">
        <v>5.8754859856825048E-2</v>
      </c>
      <c r="F115">
        <v>4.7724998474993896E-2</v>
      </c>
      <c r="G115">
        <v>3.6435700811349392E-2</v>
      </c>
    </row>
    <row r="116" spans="1:7" x14ac:dyDescent="0.45">
      <c r="A116" t="s">
        <v>113</v>
      </c>
      <c r="B116" t="e">
        <v>#DIV/0!</v>
      </c>
      <c r="C116">
        <v>605.30941909075068</v>
      </c>
      <c r="D116">
        <v>5167.1187557127896</v>
      </c>
      <c r="E116" t="e">
        <v>#DIV/0!</v>
      </c>
      <c r="F116" t="e">
        <v>#DIV/0!</v>
      </c>
      <c r="G116">
        <v>7.6744825824014207E-2</v>
      </c>
    </row>
    <row r="117" spans="1:7" x14ac:dyDescent="0.45">
      <c r="A117" t="s">
        <v>114</v>
      </c>
      <c r="B117" t="e">
        <v>#DIV/0!</v>
      </c>
      <c r="C117">
        <v>16212.103089430895</v>
      </c>
      <c r="D117">
        <v>21238.828662420379</v>
      </c>
      <c r="E117" t="e">
        <v>#DIV/0!</v>
      </c>
      <c r="F117" t="e">
        <v>#DIV/0!</v>
      </c>
      <c r="G117">
        <v>9.3563609877136411E-3</v>
      </c>
    </row>
    <row r="118" spans="1:7" x14ac:dyDescent="0.45">
      <c r="A118" t="s">
        <v>115</v>
      </c>
      <c r="B118" t="e">
        <v>#DIV/0!</v>
      </c>
      <c r="C118">
        <v>4574.0173526853168</v>
      </c>
      <c r="D118">
        <v>11352.643836041176</v>
      </c>
      <c r="E118" t="e">
        <v>#DIV/0!</v>
      </c>
      <c r="F118" t="e">
        <v>#DIV/0!</v>
      </c>
      <c r="G118">
        <v>3.1843340762487404E-2</v>
      </c>
    </row>
    <row r="119" spans="1:7" x14ac:dyDescent="0.45">
      <c r="A119" t="s">
        <v>116</v>
      </c>
      <c r="B119">
        <v>413.46622320972659</v>
      </c>
      <c r="C119">
        <v>465.17574861595563</v>
      </c>
      <c r="D119">
        <v>1264.3690970164</v>
      </c>
      <c r="E119">
        <v>3.9357067046625893E-3</v>
      </c>
      <c r="F119">
        <v>1.9125555667435012E-2</v>
      </c>
      <c r="G119">
        <v>3.5081085654923516E-2</v>
      </c>
    </row>
    <row r="120" spans="1:7" x14ac:dyDescent="0.45">
      <c r="A120" t="s">
        <v>117</v>
      </c>
      <c r="B120">
        <v>2343.5082511571745</v>
      </c>
      <c r="C120">
        <v>4319.1684608956393</v>
      </c>
      <c r="D120">
        <v>5051.6542192368033</v>
      </c>
      <c r="E120">
        <v>2.0589560987426259E-2</v>
      </c>
      <c r="F120">
        <v>1.3103183731823176E-2</v>
      </c>
      <c r="G120">
        <v>5.4164389089248477E-3</v>
      </c>
    </row>
    <row r="121" spans="1:7" x14ac:dyDescent="0.45">
      <c r="A121" t="s">
        <v>118</v>
      </c>
      <c r="B121" t="e">
        <v>#DIV/0!</v>
      </c>
      <c r="C121">
        <v>15575.20754716981</v>
      </c>
      <c r="D121">
        <v>15959.58</v>
      </c>
      <c r="E121" t="e">
        <v>#DIV/0!</v>
      </c>
      <c r="F121" t="e">
        <v>#DIV/0!</v>
      </c>
      <c r="G121">
        <v>8.4100467525183298E-4</v>
      </c>
    </row>
    <row r="122" spans="1:7" x14ac:dyDescent="0.45">
      <c r="A122" t="s">
        <v>119</v>
      </c>
      <c r="B122">
        <v>3597.5455508474574</v>
      </c>
      <c r="C122">
        <v>8389.643905672885</v>
      </c>
      <c r="D122">
        <v>23826.842088682366</v>
      </c>
      <c r="E122">
        <v>2.8626971089185327E-2</v>
      </c>
      <c r="F122">
        <v>3.2562323531630799E-2</v>
      </c>
      <c r="G122">
        <v>3.6649222179357288E-2</v>
      </c>
    </row>
    <row r="123" spans="1:7" x14ac:dyDescent="0.45">
      <c r="A123" t="s">
        <v>120</v>
      </c>
      <c r="B123">
        <v>412.80842730959392</v>
      </c>
      <c r="C123">
        <v>813.51363708862777</v>
      </c>
      <c r="D123">
        <v>1189.9342251472192</v>
      </c>
      <c r="E123">
        <v>2.2870239042130036E-2</v>
      </c>
      <c r="F123">
        <v>1.8105506726415976E-2</v>
      </c>
      <c r="G123">
        <v>1.3199828328319896E-2</v>
      </c>
    </row>
    <row r="124" spans="1:7" x14ac:dyDescent="0.45">
      <c r="A124" t="s">
        <v>121</v>
      </c>
      <c r="B124">
        <v>2548.2422931767801</v>
      </c>
      <c r="C124">
        <v>9338.8055829792884</v>
      </c>
      <c r="D124">
        <v>25702.283347626588</v>
      </c>
      <c r="E124">
        <v>4.4243275246512948E-2</v>
      </c>
      <c r="F124">
        <v>3.9949833256708089E-2</v>
      </c>
      <c r="G124">
        <v>3.552691686042686E-2</v>
      </c>
    </row>
    <row r="125" spans="1:7" x14ac:dyDescent="0.45">
      <c r="A125" t="s">
        <v>122</v>
      </c>
      <c r="B125">
        <v>4322.2717339667461</v>
      </c>
      <c r="C125">
        <v>5777.1574429478678</v>
      </c>
      <c r="D125">
        <v>9514.0817799158158</v>
      </c>
      <c r="E125">
        <v>9.7179368272601874E-3</v>
      </c>
      <c r="F125">
        <v>1.3462558525664914E-2</v>
      </c>
      <c r="G125">
        <v>1.7350919530704223E-2</v>
      </c>
    </row>
    <row r="126" spans="1:7" x14ac:dyDescent="0.45">
      <c r="A126" t="s">
        <v>123</v>
      </c>
      <c r="B126">
        <v>1681.4462973121231</v>
      </c>
      <c r="C126">
        <v>1001.5713253432338</v>
      </c>
      <c r="D126">
        <v>1184.1170664115621</v>
      </c>
      <c r="E126">
        <v>-1.7121211406034176E-2</v>
      </c>
      <c r="F126">
        <v>-5.9257107499000039E-3</v>
      </c>
      <c r="G126">
        <v>5.7900535616435267E-3</v>
      </c>
    </row>
    <row r="127" spans="1:7" x14ac:dyDescent="0.45">
      <c r="A127" t="s">
        <v>124</v>
      </c>
      <c r="B127">
        <v>3390.7013249274687</v>
      </c>
      <c r="C127">
        <v>3178.116384928449</v>
      </c>
      <c r="D127">
        <v>5007.058803186248</v>
      </c>
      <c r="E127">
        <v>-2.155942310440917E-3</v>
      </c>
      <c r="F127">
        <v>6.6288555532556526E-3</v>
      </c>
      <c r="G127">
        <v>1.5797971407329303E-2</v>
      </c>
    </row>
    <row r="128" spans="1:7" x14ac:dyDescent="0.45">
      <c r="A128" t="s">
        <v>125</v>
      </c>
      <c r="B128">
        <v>4257.5929375464257</v>
      </c>
      <c r="C128">
        <v>3253.2129678439642</v>
      </c>
      <c r="D128">
        <v>5092.4424413719353</v>
      </c>
      <c r="E128">
        <v>-8.9285961883798226E-3</v>
      </c>
      <c r="F128">
        <v>3.0394165353335723E-3</v>
      </c>
      <c r="G128">
        <v>1.5572225412738616E-2</v>
      </c>
    </row>
    <row r="129" spans="1:7" x14ac:dyDescent="0.45">
      <c r="A129" t="s">
        <v>126</v>
      </c>
      <c r="B129">
        <v>16053.593950712093</v>
      </c>
      <c r="C129">
        <v>35631.949363197775</v>
      </c>
      <c r="D129">
        <v>56194.961426206777</v>
      </c>
      <c r="E129">
        <v>2.693331612274541E-2</v>
      </c>
      <c r="F129">
        <v>2.1462575186973476E-2</v>
      </c>
      <c r="G129">
        <v>1.5833854970292993E-2</v>
      </c>
    </row>
    <row r="130" spans="1:7" x14ac:dyDescent="0.45">
      <c r="A130" t="s">
        <v>127</v>
      </c>
      <c r="B130">
        <v>17675.53248603352</v>
      </c>
      <c r="C130">
        <v>45895.340875379654</v>
      </c>
      <c r="D130">
        <v>70221.670564613582</v>
      </c>
      <c r="E130">
        <v>3.2317294384176742E-2</v>
      </c>
      <c r="F130">
        <v>2.3656419787119853E-2</v>
      </c>
      <c r="G130">
        <v>1.4773351051669215E-2</v>
      </c>
    </row>
    <row r="131" spans="1:7" x14ac:dyDescent="0.45">
      <c r="A131" t="s">
        <v>128</v>
      </c>
      <c r="B131">
        <v>1097.3449144206177</v>
      </c>
      <c r="C131">
        <v>1477.111903943297</v>
      </c>
      <c r="D131">
        <v>3614.6953339368797</v>
      </c>
      <c r="E131">
        <v>9.9557391168696441E-3</v>
      </c>
      <c r="F131">
        <v>2.0410831793281847E-2</v>
      </c>
      <c r="G131">
        <v>3.1340352388846915E-2</v>
      </c>
    </row>
    <row r="132" spans="1:7" x14ac:dyDescent="0.45">
      <c r="A132" t="s">
        <v>129</v>
      </c>
      <c r="B132">
        <v>17345.61588255204</v>
      </c>
      <c r="C132">
        <v>24753.83567771173</v>
      </c>
      <c r="D132">
        <v>41051.364449833789</v>
      </c>
      <c r="E132">
        <v>1.1925234189713585E-2</v>
      </c>
      <c r="F132">
        <v>1.4708550184172164E-2</v>
      </c>
      <c r="G132">
        <v>1.759589892878477E-2</v>
      </c>
    </row>
    <row r="133" spans="1:7" x14ac:dyDescent="0.45">
      <c r="A133" t="s">
        <v>130</v>
      </c>
      <c r="B133" t="e">
        <v>#DIV/0!</v>
      </c>
      <c r="C133">
        <v>28879.070908288268</v>
      </c>
      <c r="D133">
        <v>29172.823497487436</v>
      </c>
      <c r="E133" t="e">
        <v>#DIV/0!</v>
      </c>
      <c r="F133" t="e">
        <v>#DIV/0!</v>
      </c>
      <c r="G133">
        <v>3.4904128072832385E-4</v>
      </c>
    </row>
    <row r="134" spans="1:7" x14ac:dyDescent="0.45">
      <c r="A134" t="s">
        <v>131</v>
      </c>
      <c r="B134">
        <v>1265.4760611395825</v>
      </c>
      <c r="C134">
        <v>3042.55586964539</v>
      </c>
      <c r="D134">
        <v>4980.3575411203919</v>
      </c>
      <c r="E134">
        <v>2.9673385827566845E-2</v>
      </c>
      <c r="F134">
        <v>2.3492954502329022E-2</v>
      </c>
      <c r="G134">
        <v>1.7138439960355356E-2</v>
      </c>
    </row>
    <row r="135" spans="1:7" x14ac:dyDescent="0.45">
      <c r="A135" t="s">
        <v>132</v>
      </c>
      <c r="B135">
        <v>4299.584826132771</v>
      </c>
      <c r="C135">
        <v>10506.032417337814</v>
      </c>
      <c r="D135">
        <v>30412.770605689522</v>
      </c>
      <c r="E135">
        <v>3.0228928342240335E-2</v>
      </c>
      <c r="F135">
        <v>3.3714241032460457E-2</v>
      </c>
      <c r="G135">
        <v>3.7332145265130068E-2</v>
      </c>
    </row>
    <row r="136" spans="1:7" x14ac:dyDescent="0.45">
      <c r="A136" t="s">
        <v>133</v>
      </c>
      <c r="B136">
        <v>5037.7647848401102</v>
      </c>
      <c r="C136">
        <v>5018.4036943737146</v>
      </c>
      <c r="D136">
        <v>12282.95377801018</v>
      </c>
      <c r="E136">
        <v>-1.2834491885493904E-4</v>
      </c>
      <c r="F136">
        <v>1.5220602456919474E-2</v>
      </c>
      <c r="G136">
        <v>3.1346815241859893E-2</v>
      </c>
    </row>
    <row r="137" spans="1:7" x14ac:dyDescent="0.45">
      <c r="A137" t="s">
        <v>134</v>
      </c>
      <c r="B137">
        <v>2864.3012592782961</v>
      </c>
      <c r="C137">
        <v>4160.5553629360593</v>
      </c>
      <c r="D137">
        <v>8601.4497311236191</v>
      </c>
      <c r="E137">
        <v>1.2521888267518877E-2</v>
      </c>
      <c r="F137">
        <v>1.8812155691495303E-2</v>
      </c>
      <c r="G137">
        <v>2.536045446889279E-2</v>
      </c>
    </row>
    <row r="138" spans="1:7" x14ac:dyDescent="0.45">
      <c r="A138" t="s">
        <v>135</v>
      </c>
      <c r="B138" t="e">
        <v>#DIV/0!</v>
      </c>
      <c r="C138">
        <v>10984.926317564186</v>
      </c>
      <c r="D138">
        <v>32047.822782003706</v>
      </c>
      <c r="E138" t="e">
        <v>#DIV/0!</v>
      </c>
      <c r="F138" t="e">
        <v>#DIV/0!</v>
      </c>
      <c r="G138">
        <v>3.761091218506607E-2</v>
      </c>
    </row>
    <row r="139" spans="1:7" x14ac:dyDescent="0.45">
      <c r="A139" t="s">
        <v>136</v>
      </c>
      <c r="B139">
        <v>6167.0266421415517</v>
      </c>
      <c r="C139">
        <v>21860.405147846475</v>
      </c>
      <c r="D139">
        <v>32191.894349807357</v>
      </c>
      <c r="E139">
        <v>4.3084309780772267E-2</v>
      </c>
      <c r="F139">
        <v>2.8404362661842431E-2</v>
      </c>
      <c r="G139">
        <v>1.3435583843083743E-2</v>
      </c>
    </row>
    <row r="140" spans="1:7" x14ac:dyDescent="0.45">
      <c r="A140" t="s">
        <v>137</v>
      </c>
      <c r="B140">
        <v>3686.3703878406709</v>
      </c>
      <c r="C140">
        <v>7609.3988729459679</v>
      </c>
      <c r="D140">
        <v>12468.183743576639</v>
      </c>
      <c r="E140">
        <v>2.4452231304322725E-2</v>
      </c>
      <c r="F140">
        <v>2.0867935235381108E-2</v>
      </c>
      <c r="G140">
        <v>1.7173238857428608E-2</v>
      </c>
    </row>
    <row r="141" spans="1:7" x14ac:dyDescent="0.45">
      <c r="A141" t="s">
        <v>138</v>
      </c>
      <c r="B141" t="e">
        <v>#DIV/0!</v>
      </c>
      <c r="C141">
        <v>3216.4294755877036</v>
      </c>
      <c r="D141">
        <v>6437.8582125506891</v>
      </c>
      <c r="E141" t="e">
        <v>#DIV/0!</v>
      </c>
      <c r="F141" t="e">
        <v>#DIV/0!</v>
      </c>
      <c r="G141">
        <v>2.4216996279556646E-2</v>
      </c>
    </row>
    <row r="142" spans="1:7" x14ac:dyDescent="0.45">
      <c r="A142" t="s">
        <v>139</v>
      </c>
      <c r="B142" t="e">
        <v>#DIV/0!</v>
      </c>
      <c r="C142">
        <v>70655.008398068443</v>
      </c>
      <c r="D142">
        <v>107475.90127467251</v>
      </c>
      <c r="E142" t="e">
        <v>#DIV/0!</v>
      </c>
      <c r="F142" t="e">
        <v>#DIV/0!</v>
      </c>
      <c r="G142">
        <v>1.4569167578814435E-2</v>
      </c>
    </row>
    <row r="143" spans="1:7" x14ac:dyDescent="0.45">
      <c r="A143" t="s">
        <v>140</v>
      </c>
      <c r="B143">
        <v>2499.5165509005124</v>
      </c>
      <c r="C143">
        <v>12185.782457469815</v>
      </c>
      <c r="D143">
        <v>28048.249124691447</v>
      </c>
      <c r="E143">
        <v>5.4224844382495974E-2</v>
      </c>
      <c r="F143">
        <v>4.183142545772367E-2</v>
      </c>
      <c r="G143">
        <v>2.9163945592759477E-2</v>
      </c>
    </row>
    <row r="144" spans="1:7" x14ac:dyDescent="0.45">
      <c r="A144" t="s">
        <v>141</v>
      </c>
      <c r="B144" t="e">
        <v>#DIV/0!</v>
      </c>
      <c r="C144">
        <v>22134.6697927766</v>
      </c>
      <c r="D144">
        <v>27778.9854550864</v>
      </c>
      <c r="E144" t="e">
        <v>#DIV/0!</v>
      </c>
      <c r="F144" t="e">
        <v>#DIV/0!</v>
      </c>
      <c r="G144">
        <v>7.8629820693827401E-3</v>
      </c>
    </row>
    <row r="145" spans="1:7" x14ac:dyDescent="0.45">
      <c r="A145" t="s">
        <v>142</v>
      </c>
      <c r="B145">
        <v>801.04695099758453</v>
      </c>
      <c r="C145">
        <v>784.79817256376145</v>
      </c>
      <c r="D145">
        <v>2331.3484992476438</v>
      </c>
      <c r="E145">
        <v>-6.828661113157386E-4</v>
      </c>
      <c r="F145">
        <v>1.8271400528373727E-2</v>
      </c>
      <c r="G145">
        <v>3.825766346407744E-2</v>
      </c>
    </row>
    <row r="146" spans="1:7" x14ac:dyDescent="0.45">
      <c r="A146" t="s">
        <v>143</v>
      </c>
      <c r="B146" t="e">
        <v>#DIV/0!</v>
      </c>
      <c r="C146">
        <v>42426.084003745273</v>
      </c>
      <c r="D146">
        <v>48134.854166362689</v>
      </c>
      <c r="E146" t="e">
        <v>#DIV/0!</v>
      </c>
      <c r="F146" t="e">
        <v>#DIV/0!</v>
      </c>
      <c r="G146">
        <v>4.3627018120573346E-3</v>
      </c>
    </row>
    <row r="147" spans="1:7" x14ac:dyDescent="0.45">
      <c r="A147" t="s">
        <v>144</v>
      </c>
      <c r="B147" t="e">
        <v>#DIV/0!</v>
      </c>
      <c r="C147">
        <v>2049.948723421152</v>
      </c>
      <c r="D147">
        <v>4261.8295876038228</v>
      </c>
      <c r="E147" t="e">
        <v>#DIV/0!</v>
      </c>
      <c r="F147" t="e">
        <v>#DIV/0!</v>
      </c>
      <c r="G147">
        <v>2.5558529836806176E-2</v>
      </c>
    </row>
    <row r="148" spans="1:7" x14ac:dyDescent="0.45">
      <c r="A148" t="s">
        <v>145</v>
      </c>
      <c r="B148">
        <v>2836.6694891597654</v>
      </c>
      <c r="C148">
        <v>2287.0758274318055</v>
      </c>
      <c r="D148">
        <v>3319.8134434599056</v>
      </c>
      <c r="E148">
        <v>-7.152848353659369E-3</v>
      </c>
      <c r="F148">
        <v>2.6692840201198997E-3</v>
      </c>
      <c r="G148">
        <v>1.2932375304674615E-2</v>
      </c>
    </row>
    <row r="149" spans="1:7" x14ac:dyDescent="0.45">
      <c r="A149" t="s">
        <v>146</v>
      </c>
      <c r="B149">
        <v>5165.1860634804816</v>
      </c>
      <c r="C149">
        <v>32955.004878858279</v>
      </c>
      <c r="D149">
        <v>83455.353151973541</v>
      </c>
      <c r="E149">
        <v>6.3721278767467027E-2</v>
      </c>
      <c r="F149">
        <v>4.82884901934586E-2</v>
      </c>
      <c r="G149">
        <v>3.2559114943964573E-2</v>
      </c>
    </row>
    <row r="150" spans="1:7" x14ac:dyDescent="0.45">
      <c r="A150" t="s">
        <v>147</v>
      </c>
      <c r="B150" t="e">
        <v>#DIV/0!</v>
      </c>
      <c r="C150">
        <v>2078.2128570767168</v>
      </c>
      <c r="D150">
        <v>1812.8906849946245</v>
      </c>
      <c r="E150" t="e">
        <v>#DIV/0!</v>
      </c>
      <c r="F150" t="e">
        <v>#DIV/0!</v>
      </c>
      <c r="G150">
        <v>-4.6987772911694092E-3</v>
      </c>
    </row>
    <row r="151" spans="1:7" x14ac:dyDescent="0.45">
      <c r="A151" t="s">
        <v>148</v>
      </c>
      <c r="B151">
        <v>3786.7364220288091</v>
      </c>
      <c r="C151">
        <v>4409.1149314054765</v>
      </c>
      <c r="D151">
        <v>8244.2067218296761</v>
      </c>
      <c r="E151">
        <v>5.0852002214565317E-3</v>
      </c>
      <c r="F151">
        <v>1.3273871546581884E-2</v>
      </c>
      <c r="G151">
        <v>2.1815122932645759E-2</v>
      </c>
    </row>
    <row r="152" spans="1:7" x14ac:dyDescent="0.45">
      <c r="A152" t="s">
        <v>149</v>
      </c>
      <c r="B152" t="e">
        <v>#DIV/0!</v>
      </c>
      <c r="C152">
        <v>12558.327179885897</v>
      </c>
      <c r="D152">
        <v>17586.261977267852</v>
      </c>
      <c r="E152" t="e">
        <v>#DIV/0!</v>
      </c>
      <c r="F152" t="e">
        <v>#DIV/0!</v>
      </c>
      <c r="G152">
        <v>1.1679194751731847E-2</v>
      </c>
    </row>
    <row r="153" spans="1:7" x14ac:dyDescent="0.45">
      <c r="A153" t="s">
        <v>150</v>
      </c>
      <c r="B153" t="e">
        <v>#DIV/0!</v>
      </c>
      <c r="C153">
        <v>2700.935402684564</v>
      </c>
      <c r="D153">
        <v>4082.4788470478848</v>
      </c>
      <c r="E153" t="e">
        <v>#DIV/0!</v>
      </c>
      <c r="F153" t="e">
        <v>#DIV/0!</v>
      </c>
      <c r="G153">
        <v>1.4346985682806679E-2</v>
      </c>
    </row>
    <row r="154" spans="1:7" x14ac:dyDescent="0.45">
      <c r="A154" t="s">
        <v>151</v>
      </c>
      <c r="B154" t="e">
        <v>#DIV/0!</v>
      </c>
      <c r="C154">
        <v>10547.869200394867</v>
      </c>
      <c r="D154">
        <v>13804.930340557274</v>
      </c>
      <c r="E154" t="e">
        <v>#DIV/0!</v>
      </c>
      <c r="F154" t="e">
        <v>#DIV/0!</v>
      </c>
      <c r="G154">
        <v>9.3225638427449908E-3</v>
      </c>
    </row>
    <row r="155" spans="1:7" x14ac:dyDescent="0.45">
      <c r="A155" t="s">
        <v>152</v>
      </c>
      <c r="B155" t="e">
        <v>#DIV/0!</v>
      </c>
      <c r="C155">
        <v>12941.064630802686</v>
      </c>
      <c r="D155">
        <v>28054.053289353127</v>
      </c>
      <c r="E155" t="e">
        <v>#DIV/0!</v>
      </c>
      <c r="F155" t="e">
        <v>#DIV/0!</v>
      </c>
      <c r="G155">
        <v>2.7039365532825377E-2</v>
      </c>
    </row>
    <row r="156" spans="1:7" x14ac:dyDescent="0.45">
      <c r="A156" t="s">
        <v>153</v>
      </c>
      <c r="B156" t="e">
        <v>#DIV/0!</v>
      </c>
      <c r="C156">
        <v>19078.892842902707</v>
      </c>
      <c r="D156">
        <v>33992.417905421658</v>
      </c>
      <c r="E156" t="e">
        <v>#DIV/0!</v>
      </c>
      <c r="F156" t="e">
        <v>#DIV/0!</v>
      </c>
      <c r="G156">
        <v>2.0115325191628619E-2</v>
      </c>
    </row>
    <row r="157" spans="1:7" x14ac:dyDescent="0.45">
      <c r="A157" t="s">
        <v>154</v>
      </c>
      <c r="B157">
        <v>16272.76686199394</v>
      </c>
      <c r="C157">
        <v>33659.062994607462</v>
      </c>
      <c r="D157">
        <v>53012.403600892751</v>
      </c>
      <c r="E157">
        <v>2.452215417149417E-2</v>
      </c>
      <c r="F157">
        <v>2.0219201496014527E-2</v>
      </c>
      <c r="G157">
        <v>1.5786887969817975E-2</v>
      </c>
    </row>
    <row r="158" spans="1:7" x14ac:dyDescent="0.45">
      <c r="A158" t="s">
        <v>155</v>
      </c>
      <c r="B158" t="e">
        <v>#DIV/0!</v>
      </c>
      <c r="C158">
        <v>5159.1586819066151</v>
      </c>
      <c r="D158">
        <v>8420.0884069331933</v>
      </c>
      <c r="E158" t="e">
        <v>#DIV/0!</v>
      </c>
      <c r="F158" t="e">
        <v>#DIV/0!</v>
      </c>
      <c r="G158">
        <v>1.7034733347216724E-2</v>
      </c>
    </row>
    <row r="159" spans="1:7" x14ac:dyDescent="0.45">
      <c r="A159" t="s">
        <v>156</v>
      </c>
      <c r="B159" t="e">
        <v>#DIV/0!</v>
      </c>
      <c r="C159" t="e">
        <v>#DIV/0!</v>
      </c>
      <c r="D159">
        <v>15500.511792452831</v>
      </c>
      <c r="E159" t="e">
        <v>#DIV/0!</v>
      </c>
      <c r="F159" t="e">
        <v>#DIV/0!</v>
      </c>
      <c r="G159" t="e">
        <v>#DIV/0!</v>
      </c>
    </row>
    <row r="160" spans="1:7" x14ac:dyDescent="0.45">
      <c r="A160" t="s">
        <v>157</v>
      </c>
      <c r="B160">
        <v>3968.4367245657563</v>
      </c>
      <c r="C160">
        <v>12211.024079320114</v>
      </c>
      <c r="D160">
        <v>24957.141248720574</v>
      </c>
      <c r="E160">
        <v>3.817624554477228E-2</v>
      </c>
      <c r="F160">
        <v>3.1656635558110935E-2</v>
      </c>
      <c r="G160">
        <v>2.4955292656891892E-2</v>
      </c>
    </row>
    <row r="161" spans="1:7" x14ac:dyDescent="0.45">
      <c r="A161" t="s">
        <v>158</v>
      </c>
      <c r="B161">
        <v>4461.1795412544843</v>
      </c>
      <c r="C161">
        <v>7410.4338834343007</v>
      </c>
      <c r="D161">
        <v>7180.0317162758274</v>
      </c>
      <c r="E161">
        <v>1.7059742950840118E-2</v>
      </c>
      <c r="F161">
        <v>8.0985596922036329E-3</v>
      </c>
      <c r="G161">
        <v>-1.0885516147823848E-3</v>
      </c>
    </row>
    <row r="162" spans="1:7" x14ac:dyDescent="0.45">
      <c r="A162" t="s">
        <v>159</v>
      </c>
      <c r="B162" t="e">
        <v>#DIV/0!</v>
      </c>
      <c r="C162">
        <v>8719.1322314049576</v>
      </c>
      <c r="D162">
        <v>16181.081151832461</v>
      </c>
      <c r="E162" t="e">
        <v>#DIV/0!</v>
      </c>
      <c r="F162" t="e">
        <v>#DIV/0!</v>
      </c>
      <c r="G162">
        <v>2.1550410100656947E-2</v>
      </c>
    </row>
    <row r="163" spans="1:7" x14ac:dyDescent="0.45">
      <c r="A163" t="s">
        <v>160</v>
      </c>
      <c r="B163">
        <v>1198.0768661735035</v>
      </c>
      <c r="C163">
        <v>926.70700786477278</v>
      </c>
      <c r="D163">
        <v>1566.408355228916</v>
      </c>
      <c r="E163">
        <v>-8.5246403623808753E-3</v>
      </c>
      <c r="F163">
        <v>4.5538572174803615E-3</v>
      </c>
      <c r="G163">
        <v>1.8264908560673643E-2</v>
      </c>
    </row>
    <row r="164" spans="1:7" x14ac:dyDescent="0.45">
      <c r="A164" t="s">
        <v>161</v>
      </c>
      <c r="B164">
        <v>1140.5851029908806</v>
      </c>
      <c r="C164">
        <v>1536.6786423972655</v>
      </c>
      <c r="D164">
        <v>2158.8345664654066</v>
      </c>
      <c r="E164">
        <v>9.9855926902749914E-3</v>
      </c>
      <c r="F164">
        <v>1.087270224858905E-2</v>
      </c>
      <c r="G164">
        <v>1.1791221748520098E-2</v>
      </c>
    </row>
    <row r="165" spans="1:7" x14ac:dyDescent="0.45">
      <c r="A165" t="s">
        <v>162</v>
      </c>
      <c r="B165">
        <v>1218.8971443400328</v>
      </c>
      <c r="C165">
        <v>6716.9056617784863</v>
      </c>
      <c r="D165">
        <v>17659.041717414282</v>
      </c>
      <c r="E165">
        <v>5.8538698191783922E-2</v>
      </c>
      <c r="F165">
        <v>4.6352382069719811E-2</v>
      </c>
      <c r="G165">
        <v>3.3893462229649618E-2</v>
      </c>
    </row>
    <row r="166" spans="1:7" x14ac:dyDescent="0.45">
      <c r="A166" t="s">
        <v>163</v>
      </c>
      <c r="B166" t="e">
        <v>#DIV/0!</v>
      </c>
      <c r="C166">
        <v>5050.4641735114874</v>
      </c>
      <c r="D166">
        <v>4397.6982405321314</v>
      </c>
      <c r="E166" t="e">
        <v>#DIV/0!</v>
      </c>
      <c r="F166" t="e">
        <v>#DIV/0!</v>
      </c>
      <c r="G166">
        <v>-4.7610054056491657E-3</v>
      </c>
    </row>
    <row r="167" spans="1:7" x14ac:dyDescent="0.45">
      <c r="A167" t="s">
        <v>164</v>
      </c>
      <c r="B167" t="e">
        <v>#DIV/0!</v>
      </c>
      <c r="C167">
        <v>12499.344706840389</v>
      </c>
      <c r="D167">
        <v>26082.269416536245</v>
      </c>
      <c r="E167" t="e">
        <v>#DIV/0!</v>
      </c>
      <c r="F167" t="e">
        <v>#DIV/0!</v>
      </c>
      <c r="G167">
        <v>2.5689235430161883E-2</v>
      </c>
    </row>
    <row r="168" spans="1:7" x14ac:dyDescent="0.45">
      <c r="A168" t="s">
        <v>165</v>
      </c>
      <c r="B168">
        <v>7791.2640807013331</v>
      </c>
      <c r="C168">
        <v>11290.850708377691</v>
      </c>
      <c r="D168">
        <v>25588.768458781364</v>
      </c>
      <c r="E168">
        <v>1.2443099422593473E-2</v>
      </c>
      <c r="F168">
        <v>2.0359576995850226E-2</v>
      </c>
      <c r="G168">
        <v>2.8614181327992538E-2</v>
      </c>
    </row>
    <row r="169" spans="1:7" x14ac:dyDescent="0.45">
      <c r="A169" t="s">
        <v>166</v>
      </c>
      <c r="B169">
        <v>2051.4825926286103</v>
      </c>
      <c r="C169">
        <v>5602.7871034273585</v>
      </c>
      <c r="D169">
        <v>11064.691697948645</v>
      </c>
      <c r="E169">
        <v>3.4057152162644488E-2</v>
      </c>
      <c r="F169">
        <v>2.8974474286217689E-2</v>
      </c>
      <c r="G169">
        <v>2.3742820006051435E-2</v>
      </c>
    </row>
    <row r="170" spans="1:7" x14ac:dyDescent="0.45">
      <c r="A170" t="s">
        <v>167</v>
      </c>
      <c r="B170">
        <v>5472.000915661074</v>
      </c>
      <c r="C170">
        <v>12007.354863895494</v>
      </c>
      <c r="D170">
        <v>26883.108632907268</v>
      </c>
      <c r="E170">
        <v>2.6541960598579273E-2</v>
      </c>
      <c r="F170">
        <v>2.7347844332815674E-2</v>
      </c>
      <c r="G170">
        <v>2.8182182923740751E-2</v>
      </c>
    </row>
    <row r="171" spans="1:7" x14ac:dyDescent="0.45">
      <c r="A171" t="s">
        <v>168</v>
      </c>
      <c r="B171">
        <v>1805.0165452721767</v>
      </c>
      <c r="C171">
        <v>14998.064490677501</v>
      </c>
      <c r="D171">
        <v>47804.235887438546</v>
      </c>
      <c r="E171">
        <v>7.3128677986103563E-2</v>
      </c>
      <c r="F171">
        <v>5.7105647735028686E-2</v>
      </c>
      <c r="G171">
        <v>4.0781814704528241E-2</v>
      </c>
    </row>
    <row r="172" spans="1:7" x14ac:dyDescent="0.45">
      <c r="A172" t="s">
        <v>169</v>
      </c>
      <c r="B172">
        <v>870.82742095844105</v>
      </c>
      <c r="C172">
        <v>1127.6969735275409</v>
      </c>
      <c r="D172">
        <v>2479.7769790297607</v>
      </c>
      <c r="E172">
        <v>8.6535250455717083E-3</v>
      </c>
      <c r="F172">
        <v>1.7895184515570595E-2</v>
      </c>
      <c r="G172">
        <v>2.754463690058917E-2</v>
      </c>
    </row>
    <row r="173" spans="1:7" x14ac:dyDescent="0.45">
      <c r="A173" t="s">
        <v>170</v>
      </c>
      <c r="B173">
        <v>950.98436608467432</v>
      </c>
      <c r="C173">
        <v>810.15938897340163</v>
      </c>
      <c r="D173">
        <v>2058.1335724741134</v>
      </c>
      <c r="E173">
        <v>-5.3279763209311826E-3</v>
      </c>
      <c r="F173">
        <v>1.3171707828590673E-2</v>
      </c>
      <c r="G173">
        <v>3.267146206199234E-2</v>
      </c>
    </row>
    <row r="174" spans="1:7" x14ac:dyDescent="0.45">
      <c r="A174" t="s">
        <v>171</v>
      </c>
      <c r="B174" t="e">
        <v>#DIV/0!</v>
      </c>
      <c r="C174">
        <v>17592.261494157952</v>
      </c>
      <c r="D174">
        <v>13051.956705066192</v>
      </c>
      <c r="E174" t="e">
        <v>#DIV/0!</v>
      </c>
      <c r="F174" t="e">
        <v>#DIV/0!</v>
      </c>
      <c r="G174">
        <v>-1.0241029378161737E-2</v>
      </c>
    </row>
    <row r="175" spans="1:7" x14ac:dyDescent="0.45">
      <c r="A175" t="s">
        <v>172</v>
      </c>
      <c r="B175">
        <v>7682.0148104030168</v>
      </c>
      <c r="C175">
        <v>10092.084416002059</v>
      </c>
      <c r="D175">
        <v>20844.078140797876</v>
      </c>
      <c r="E175">
        <v>9.1371423877897318E-3</v>
      </c>
      <c r="F175">
        <v>1.7062368508274472E-2</v>
      </c>
      <c r="G175">
        <v>2.5326381038492496E-2</v>
      </c>
    </row>
    <row r="176" spans="1:7" x14ac:dyDescent="0.45">
      <c r="A176" t="s">
        <v>173</v>
      </c>
      <c r="B176">
        <v>19019.006575771971</v>
      </c>
      <c r="C176">
        <v>40010.879726860556</v>
      </c>
      <c r="D176">
        <v>62490.991898558612</v>
      </c>
      <c r="E176">
        <v>2.5100256987082847E-2</v>
      </c>
      <c r="F176">
        <v>2.0367068619823181E-2</v>
      </c>
      <c r="G176">
        <v>1.5493663556054527E-2</v>
      </c>
    </row>
    <row r="177" spans="1:7" x14ac:dyDescent="0.45">
      <c r="A177" t="s">
        <v>174</v>
      </c>
      <c r="B177" t="e">
        <v>#DIV/0!</v>
      </c>
      <c r="C177">
        <v>5680.8096459018643</v>
      </c>
      <c r="D177">
        <v>11992.234520961625</v>
      </c>
      <c r="E177" t="e">
        <v>#DIV/0!</v>
      </c>
      <c r="F177" t="e">
        <v>#DIV/0!</v>
      </c>
      <c r="G177">
        <v>2.6099098536095822E-2</v>
      </c>
    </row>
    <row r="178" spans="1:7" x14ac:dyDescent="0.45">
      <c r="A178" t="s">
        <v>175</v>
      </c>
      <c r="B178" t="e">
        <v>#DIV/0!</v>
      </c>
      <c r="C178">
        <v>5390.5404651162798</v>
      </c>
      <c r="D178">
        <v>10538.785714285714</v>
      </c>
      <c r="E178" t="e">
        <v>#DIV/0!</v>
      </c>
      <c r="F178" t="e">
        <v>#DIV/0!</v>
      </c>
      <c r="G178">
        <v>2.3387104292347694E-2</v>
      </c>
    </row>
    <row r="179" spans="1:7" x14ac:dyDescent="0.45">
      <c r="A179" t="s">
        <v>176</v>
      </c>
      <c r="B179">
        <v>439.56847680795516</v>
      </c>
      <c r="C179">
        <v>552.78097256108435</v>
      </c>
      <c r="D179">
        <v>233.93894262128367</v>
      </c>
      <c r="E179">
        <v>7.6681958597921707E-3</v>
      </c>
      <c r="F179">
        <v>-1.0633456711138134E-2</v>
      </c>
      <c r="G179">
        <v>-2.9216481722380672E-2</v>
      </c>
    </row>
    <row r="180" spans="1:7" x14ac:dyDescent="0.45">
      <c r="A180" t="s">
        <v>177</v>
      </c>
      <c r="B180" t="e">
        <v>#DIV/0!</v>
      </c>
      <c r="C180">
        <v>11389.354285714286</v>
      </c>
      <c r="D180">
        <v>37272.573333333341</v>
      </c>
      <c r="E180" t="e">
        <v>#DIV/0!</v>
      </c>
      <c r="F180" t="e">
        <v>#DIV/0!</v>
      </c>
      <c r="G180">
        <v>4.1729198399959033E-2</v>
      </c>
    </row>
    <row r="181" spans="1:7" x14ac:dyDescent="0.45">
      <c r="A181" t="s">
        <v>178</v>
      </c>
      <c r="B181" t="e">
        <v>#DIV/0!</v>
      </c>
      <c r="C181">
        <v>1571.5990271941448</v>
      </c>
      <c r="D181">
        <v>7688.5487927382874</v>
      </c>
      <c r="E181" t="e">
        <v>#DIV/0!</v>
      </c>
      <c r="F181" t="e">
        <v>#DIV/0!</v>
      </c>
      <c r="G181">
        <v>5.6272449974631655E-2</v>
      </c>
    </row>
    <row r="182" spans="1:7" x14ac:dyDescent="0.45">
      <c r="A182" t="s">
        <v>179</v>
      </c>
      <c r="B182" t="e">
        <v>#DIV/0!</v>
      </c>
      <c r="C182">
        <v>2584.8795473953883</v>
      </c>
      <c r="D182">
        <v>1374.0392018352716</v>
      </c>
      <c r="E182" t="e">
        <v>#DIV/0!</v>
      </c>
      <c r="F182" t="e">
        <v>#DIV/0!</v>
      </c>
      <c r="G182">
        <v>-2.1554791541186002E-2</v>
      </c>
    </row>
    <row r="183" spans="1:7" x14ac:dyDescent="0.45">
      <c r="A183" t="s">
        <v>180</v>
      </c>
      <c r="B183">
        <v>7962.8747056805132</v>
      </c>
      <c r="C183">
        <v>10320.012635697885</v>
      </c>
      <c r="D183">
        <v>12514.906085046867</v>
      </c>
      <c r="E183">
        <v>8.6806235127931952E-3</v>
      </c>
      <c r="F183">
        <v>7.6926638020626825E-3</v>
      </c>
      <c r="G183">
        <v>6.6716547950080862E-3</v>
      </c>
    </row>
    <row r="184" spans="1:7" x14ac:dyDescent="0.45">
      <c r="A184" t="s">
        <v>181</v>
      </c>
      <c r="B184">
        <v>2397.3829294982024</v>
      </c>
      <c r="C184">
        <v>2027.6158421262194</v>
      </c>
      <c r="D184">
        <v>3151.1266670399191</v>
      </c>
      <c r="E184">
        <v>-5.5683408477953389E-3</v>
      </c>
      <c r="F184">
        <v>4.6443511220448652E-3</v>
      </c>
      <c r="G184">
        <v>1.5319588326771827E-2</v>
      </c>
    </row>
    <row r="185" spans="1:7" x14ac:dyDescent="0.45">
      <c r="A185" t="s">
        <v>182</v>
      </c>
      <c r="B185">
        <v>1515.5499467131085</v>
      </c>
      <c r="C185">
        <v>1987.2020915609066</v>
      </c>
      <c r="D185">
        <v>2915.1664538595473</v>
      </c>
      <c r="E185">
        <v>9.0725513867480068E-3</v>
      </c>
      <c r="F185">
        <v>1.1148954991307303E-2</v>
      </c>
      <c r="G185">
        <v>1.3301455055537259E-2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</dc:creator>
  <cp:lastModifiedBy>TM</cp:lastModifiedBy>
  <dcterms:created xsi:type="dcterms:W3CDTF">2021-09-13T04:13:42Z</dcterms:created>
  <dcterms:modified xsi:type="dcterms:W3CDTF">2021-09-13T04:39:47Z</dcterms:modified>
</cp:coreProperties>
</file>