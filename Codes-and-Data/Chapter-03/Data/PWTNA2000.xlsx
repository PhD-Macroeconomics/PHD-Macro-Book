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\Dropbox\Per\"/>
    </mc:Choice>
  </mc:AlternateContent>
  <xr:revisionPtr revIDLastSave="0" documentId="13_ncr:1_{37C1AC7E-F47F-42D3-A433-30FD50231E5B}" xr6:coauthVersionLast="36" xr6:coauthVersionMax="36" xr10:uidLastSave="{00000000-0000-0000-0000-000000000000}"/>
  <bookViews>
    <workbookView xWindow="0" yWindow="0" windowWidth="28800" windowHeight="14190" activeTab="1" xr2:uid="{190BF129-A760-4878-A7A4-E741A193FD71}"/>
  </bookViews>
  <sheets>
    <sheet name="Sheet1" sheetId="1" r:id="rId1"/>
    <sheet name="All" sheetId="2" r:id="rId2"/>
    <sheet name="Sheet3" sheetId="3" r:id="rId3"/>
    <sheet name="Sheet4" sheetId="4" r:id="rId4"/>
    <sheet name="OECD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4" l="1"/>
  <c r="H4" i="4"/>
  <c r="I4" i="4"/>
  <c r="J4" i="4"/>
  <c r="K4" i="4"/>
  <c r="G5" i="4"/>
  <c r="H5" i="4"/>
  <c r="I5" i="4"/>
  <c r="J5" i="4"/>
  <c r="K5" i="4"/>
  <c r="G6" i="4"/>
  <c r="H6" i="4"/>
  <c r="I6" i="4"/>
  <c r="J6" i="4"/>
  <c r="K6" i="4"/>
  <c r="G7" i="4"/>
  <c r="H7" i="4"/>
  <c r="I7" i="4"/>
  <c r="J7" i="4"/>
  <c r="K7" i="4"/>
  <c r="G8" i="4"/>
  <c r="H8" i="4"/>
  <c r="I8" i="4"/>
  <c r="J8" i="4"/>
  <c r="K8" i="4"/>
  <c r="G9" i="4"/>
  <c r="H9" i="4"/>
  <c r="I9" i="4"/>
  <c r="J9" i="4"/>
  <c r="K9" i="4"/>
  <c r="G10" i="4"/>
  <c r="H10" i="4"/>
  <c r="I10" i="4"/>
  <c r="J10" i="4"/>
  <c r="K10" i="4"/>
  <c r="G11" i="4"/>
  <c r="H11" i="4"/>
  <c r="I11" i="4"/>
  <c r="J11" i="4"/>
  <c r="K11" i="4"/>
  <c r="G12" i="4"/>
  <c r="H12" i="4"/>
  <c r="I12" i="4"/>
  <c r="J12" i="4"/>
  <c r="K12" i="4"/>
  <c r="G13" i="4"/>
  <c r="H13" i="4"/>
  <c r="I13" i="4"/>
  <c r="J13" i="4"/>
  <c r="K13" i="4"/>
  <c r="G14" i="4"/>
  <c r="H14" i="4"/>
  <c r="I14" i="4"/>
  <c r="J14" i="4"/>
  <c r="K14" i="4"/>
  <c r="G15" i="4"/>
  <c r="H15" i="4"/>
  <c r="I15" i="4"/>
  <c r="J15" i="4"/>
  <c r="K15" i="4"/>
  <c r="G16" i="4"/>
  <c r="H16" i="4"/>
  <c r="I16" i="4"/>
  <c r="J16" i="4"/>
  <c r="K16" i="4"/>
  <c r="G17" i="4"/>
  <c r="H17" i="4"/>
  <c r="I17" i="4"/>
  <c r="J17" i="4"/>
  <c r="K17" i="4"/>
  <c r="G18" i="4"/>
  <c r="H18" i="4"/>
  <c r="I18" i="4"/>
  <c r="J18" i="4"/>
  <c r="K18" i="4"/>
  <c r="G19" i="4"/>
  <c r="H19" i="4"/>
  <c r="I19" i="4"/>
  <c r="J19" i="4"/>
  <c r="K19" i="4"/>
  <c r="G20" i="4"/>
  <c r="H20" i="4"/>
  <c r="I20" i="4"/>
  <c r="J20" i="4"/>
  <c r="K20" i="4"/>
  <c r="G21" i="4"/>
  <c r="H21" i="4"/>
  <c r="I21" i="4"/>
  <c r="J21" i="4"/>
  <c r="K21" i="4"/>
  <c r="G22" i="4"/>
  <c r="H22" i="4"/>
  <c r="I22" i="4"/>
  <c r="J22" i="4"/>
  <c r="K22" i="4"/>
  <c r="G23" i="4"/>
  <c r="H23" i="4"/>
  <c r="I23" i="4"/>
  <c r="J23" i="4"/>
  <c r="K23" i="4"/>
  <c r="G24" i="4"/>
  <c r="H24" i="4"/>
  <c r="I24" i="4"/>
  <c r="J24" i="4"/>
  <c r="K24" i="4"/>
  <c r="G25" i="4"/>
  <c r="H25" i="4"/>
  <c r="I25" i="4"/>
  <c r="J25" i="4"/>
  <c r="K25" i="4"/>
  <c r="G26" i="4"/>
  <c r="H26" i="4"/>
  <c r="I26" i="4"/>
  <c r="J26" i="4"/>
  <c r="K26" i="4"/>
  <c r="G27" i="4"/>
  <c r="H27" i="4"/>
  <c r="I27" i="4"/>
  <c r="J27" i="4"/>
  <c r="K27" i="4"/>
  <c r="G28" i="4"/>
  <c r="H28" i="4"/>
  <c r="I28" i="4"/>
  <c r="J28" i="4"/>
  <c r="K28" i="4"/>
  <c r="G29" i="4"/>
  <c r="H29" i="4"/>
  <c r="I29" i="4"/>
  <c r="J29" i="4"/>
  <c r="K29" i="4"/>
  <c r="G30" i="4"/>
  <c r="H30" i="4"/>
  <c r="I30" i="4"/>
  <c r="J30" i="4"/>
  <c r="K30" i="4"/>
  <c r="G31" i="4"/>
  <c r="H31" i="4"/>
  <c r="I31" i="4"/>
  <c r="J31" i="4"/>
  <c r="K31" i="4"/>
  <c r="G32" i="4"/>
  <c r="H32" i="4"/>
  <c r="I32" i="4"/>
  <c r="J32" i="4"/>
  <c r="K32" i="4"/>
  <c r="G33" i="4"/>
  <c r="H33" i="4"/>
  <c r="I33" i="4"/>
  <c r="J33" i="4"/>
  <c r="K33" i="4"/>
  <c r="G34" i="4"/>
  <c r="H34" i="4"/>
  <c r="I34" i="4"/>
  <c r="J34" i="4"/>
  <c r="K34" i="4"/>
  <c r="G35" i="4"/>
  <c r="H35" i="4"/>
  <c r="I35" i="4"/>
  <c r="J35" i="4"/>
  <c r="K35" i="4"/>
  <c r="G36" i="4"/>
  <c r="H36" i="4"/>
  <c r="I36" i="4"/>
  <c r="J36" i="4"/>
  <c r="K36" i="4"/>
  <c r="G37" i="4"/>
  <c r="H37" i="4"/>
  <c r="I37" i="4"/>
  <c r="J37" i="4"/>
  <c r="K37" i="4"/>
  <c r="G38" i="4"/>
  <c r="H38" i="4"/>
  <c r="I38" i="4"/>
  <c r="J38" i="4"/>
  <c r="K38" i="4"/>
  <c r="G39" i="4"/>
  <c r="H39" i="4"/>
  <c r="I39" i="4"/>
  <c r="J39" i="4"/>
  <c r="K39" i="4"/>
  <c r="G40" i="4"/>
  <c r="H40" i="4"/>
  <c r="I40" i="4"/>
  <c r="J40" i="4"/>
  <c r="K40" i="4"/>
  <c r="G41" i="4"/>
  <c r="H41" i="4"/>
  <c r="I41" i="4"/>
  <c r="J41" i="4"/>
  <c r="K41" i="4"/>
  <c r="G42" i="4"/>
  <c r="H42" i="4"/>
  <c r="I42" i="4"/>
  <c r="J42" i="4"/>
  <c r="K42" i="4"/>
  <c r="G43" i="4"/>
  <c r="H43" i="4"/>
  <c r="I43" i="4"/>
  <c r="J43" i="4"/>
  <c r="K43" i="4"/>
  <c r="G44" i="4"/>
  <c r="H44" i="4"/>
  <c r="I44" i="4"/>
  <c r="J44" i="4"/>
  <c r="K44" i="4"/>
  <c r="G45" i="4"/>
  <c r="H45" i="4"/>
  <c r="I45" i="4"/>
  <c r="J45" i="4"/>
  <c r="K45" i="4"/>
  <c r="G46" i="4"/>
  <c r="H46" i="4"/>
  <c r="I46" i="4"/>
  <c r="J46" i="4"/>
  <c r="K46" i="4"/>
  <c r="G47" i="4"/>
  <c r="H47" i="4"/>
  <c r="I47" i="4"/>
  <c r="J47" i="4"/>
  <c r="K47" i="4"/>
  <c r="G48" i="4"/>
  <c r="H48" i="4"/>
  <c r="I48" i="4"/>
  <c r="J48" i="4"/>
  <c r="K48" i="4"/>
  <c r="G49" i="4"/>
  <c r="H49" i="4"/>
  <c r="I49" i="4"/>
  <c r="J49" i="4"/>
  <c r="K49" i="4"/>
  <c r="G50" i="4"/>
  <c r="H50" i="4"/>
  <c r="I50" i="4"/>
  <c r="J50" i="4"/>
  <c r="K50" i="4"/>
  <c r="G51" i="4"/>
  <c r="H51" i="4"/>
  <c r="I51" i="4"/>
  <c r="J51" i="4"/>
  <c r="K51" i="4"/>
  <c r="G52" i="4"/>
  <c r="H52" i="4"/>
  <c r="I52" i="4"/>
  <c r="J52" i="4"/>
  <c r="K52" i="4"/>
  <c r="G53" i="4"/>
  <c r="H53" i="4"/>
  <c r="I53" i="4"/>
  <c r="J53" i="4"/>
  <c r="K53" i="4"/>
  <c r="G54" i="4"/>
  <c r="H54" i="4"/>
  <c r="I54" i="4"/>
  <c r="J54" i="4"/>
  <c r="K54" i="4"/>
  <c r="G55" i="4"/>
  <c r="H55" i="4"/>
  <c r="I55" i="4"/>
  <c r="J55" i="4"/>
  <c r="K55" i="4"/>
  <c r="G56" i="4"/>
  <c r="H56" i="4"/>
  <c r="I56" i="4"/>
  <c r="J56" i="4"/>
  <c r="K56" i="4"/>
  <c r="G57" i="4"/>
  <c r="H57" i="4"/>
  <c r="I57" i="4"/>
  <c r="J57" i="4"/>
  <c r="K57" i="4"/>
  <c r="G58" i="4"/>
  <c r="H58" i="4"/>
  <c r="I58" i="4"/>
  <c r="J58" i="4"/>
  <c r="K58" i="4"/>
  <c r="G59" i="4"/>
  <c r="H59" i="4"/>
  <c r="I59" i="4"/>
  <c r="J59" i="4"/>
  <c r="K59" i="4"/>
  <c r="G60" i="4"/>
  <c r="H60" i="4"/>
  <c r="I60" i="4"/>
  <c r="J60" i="4"/>
  <c r="K60" i="4"/>
  <c r="G61" i="4"/>
  <c r="H61" i="4"/>
  <c r="I61" i="4"/>
  <c r="J61" i="4"/>
  <c r="K61" i="4"/>
  <c r="G62" i="4"/>
  <c r="H62" i="4"/>
  <c r="I62" i="4"/>
  <c r="J62" i="4"/>
  <c r="K62" i="4"/>
  <c r="G63" i="4"/>
  <c r="H63" i="4"/>
  <c r="I63" i="4"/>
  <c r="J63" i="4"/>
  <c r="K63" i="4"/>
  <c r="G64" i="4"/>
  <c r="H64" i="4"/>
  <c r="I64" i="4"/>
  <c r="J64" i="4"/>
  <c r="K64" i="4"/>
  <c r="G65" i="4"/>
  <c r="H65" i="4"/>
  <c r="I65" i="4"/>
  <c r="J65" i="4"/>
  <c r="K65" i="4"/>
  <c r="G66" i="4"/>
  <c r="H66" i="4"/>
  <c r="I66" i="4"/>
  <c r="J66" i="4"/>
  <c r="K66" i="4"/>
  <c r="G67" i="4"/>
  <c r="H67" i="4"/>
  <c r="I67" i="4"/>
  <c r="J67" i="4"/>
  <c r="K67" i="4"/>
  <c r="G68" i="4"/>
  <c r="H68" i="4"/>
  <c r="I68" i="4"/>
  <c r="J68" i="4"/>
  <c r="K68" i="4"/>
  <c r="G69" i="4"/>
  <c r="H69" i="4"/>
  <c r="I69" i="4"/>
  <c r="J69" i="4"/>
  <c r="K69" i="4"/>
  <c r="G70" i="4"/>
  <c r="H70" i="4"/>
  <c r="I70" i="4"/>
  <c r="J70" i="4"/>
  <c r="K70" i="4"/>
  <c r="G71" i="4"/>
  <c r="H71" i="4"/>
  <c r="I71" i="4"/>
  <c r="J71" i="4"/>
  <c r="K71" i="4"/>
  <c r="G72" i="4"/>
  <c r="H72" i="4"/>
  <c r="I72" i="4"/>
  <c r="J72" i="4"/>
  <c r="K72" i="4"/>
  <c r="G73" i="4"/>
  <c r="H73" i="4"/>
  <c r="I73" i="4"/>
  <c r="J73" i="4"/>
  <c r="K73" i="4"/>
  <c r="G74" i="4"/>
  <c r="H74" i="4"/>
  <c r="I74" i="4"/>
  <c r="J74" i="4"/>
  <c r="K74" i="4"/>
  <c r="G75" i="4"/>
  <c r="H75" i="4"/>
  <c r="I75" i="4"/>
  <c r="J75" i="4"/>
  <c r="K75" i="4"/>
  <c r="G76" i="4"/>
  <c r="H76" i="4"/>
  <c r="I76" i="4"/>
  <c r="J76" i="4"/>
  <c r="K76" i="4"/>
  <c r="G77" i="4"/>
  <c r="H77" i="4"/>
  <c r="I77" i="4"/>
  <c r="J77" i="4"/>
  <c r="K77" i="4"/>
  <c r="G78" i="4"/>
  <c r="H78" i="4"/>
  <c r="I78" i="4"/>
  <c r="J78" i="4"/>
  <c r="K78" i="4"/>
  <c r="G79" i="4"/>
  <c r="H79" i="4"/>
  <c r="I79" i="4"/>
  <c r="J79" i="4"/>
  <c r="K79" i="4"/>
  <c r="G80" i="4"/>
  <c r="H80" i="4"/>
  <c r="I80" i="4"/>
  <c r="J80" i="4"/>
  <c r="K80" i="4"/>
  <c r="G81" i="4"/>
  <c r="H81" i="4"/>
  <c r="I81" i="4"/>
  <c r="J81" i="4"/>
  <c r="K81" i="4"/>
  <c r="G82" i="4"/>
  <c r="H82" i="4"/>
  <c r="I82" i="4"/>
  <c r="J82" i="4"/>
  <c r="K82" i="4"/>
  <c r="G83" i="4"/>
  <c r="H83" i="4"/>
  <c r="I83" i="4"/>
  <c r="J83" i="4"/>
  <c r="K83" i="4"/>
  <c r="G84" i="4"/>
  <c r="H84" i="4"/>
  <c r="I84" i="4"/>
  <c r="J84" i="4"/>
  <c r="K84" i="4"/>
  <c r="G85" i="4"/>
  <c r="H85" i="4"/>
  <c r="I85" i="4"/>
  <c r="J85" i="4"/>
  <c r="K85" i="4"/>
  <c r="G86" i="4"/>
  <c r="H86" i="4"/>
  <c r="I86" i="4"/>
  <c r="J86" i="4"/>
  <c r="K86" i="4"/>
  <c r="G87" i="4"/>
  <c r="H87" i="4"/>
  <c r="I87" i="4"/>
  <c r="J87" i="4"/>
  <c r="K87" i="4"/>
  <c r="G88" i="4"/>
  <c r="H88" i="4"/>
  <c r="I88" i="4"/>
  <c r="J88" i="4"/>
  <c r="K88" i="4"/>
  <c r="G89" i="4"/>
  <c r="H89" i="4"/>
  <c r="I89" i="4"/>
  <c r="J89" i="4"/>
  <c r="K89" i="4"/>
  <c r="G90" i="4"/>
  <c r="H90" i="4"/>
  <c r="I90" i="4"/>
  <c r="J90" i="4"/>
  <c r="K90" i="4"/>
  <c r="G91" i="4"/>
  <c r="H91" i="4"/>
  <c r="I91" i="4"/>
  <c r="J91" i="4"/>
  <c r="K91" i="4"/>
  <c r="G92" i="4"/>
  <c r="H92" i="4"/>
  <c r="I92" i="4"/>
  <c r="J92" i="4"/>
  <c r="K92" i="4"/>
  <c r="G93" i="4"/>
  <c r="H93" i="4"/>
  <c r="I93" i="4"/>
  <c r="J93" i="4"/>
  <c r="K93" i="4"/>
  <c r="G94" i="4"/>
  <c r="H94" i="4"/>
  <c r="I94" i="4"/>
  <c r="J94" i="4"/>
  <c r="K94" i="4"/>
  <c r="G95" i="4"/>
  <c r="H95" i="4"/>
  <c r="I95" i="4"/>
  <c r="J95" i="4"/>
  <c r="K95" i="4"/>
  <c r="G96" i="4"/>
  <c r="H96" i="4"/>
  <c r="I96" i="4"/>
  <c r="J96" i="4"/>
  <c r="K96" i="4"/>
  <c r="G97" i="4"/>
  <c r="H97" i="4"/>
  <c r="I97" i="4"/>
  <c r="J97" i="4"/>
  <c r="K97" i="4"/>
  <c r="G98" i="4"/>
  <c r="H98" i="4"/>
  <c r="I98" i="4"/>
  <c r="J98" i="4"/>
  <c r="K98" i="4"/>
  <c r="G99" i="4"/>
  <c r="H99" i="4"/>
  <c r="I99" i="4"/>
  <c r="J99" i="4"/>
  <c r="K99" i="4"/>
  <c r="G100" i="4"/>
  <c r="H100" i="4"/>
  <c r="I100" i="4"/>
  <c r="J100" i="4"/>
  <c r="K100" i="4"/>
  <c r="G101" i="4"/>
  <c r="H101" i="4"/>
  <c r="I101" i="4"/>
  <c r="J101" i="4"/>
  <c r="K101" i="4"/>
  <c r="G102" i="4"/>
  <c r="H102" i="4"/>
  <c r="I102" i="4"/>
  <c r="J102" i="4"/>
  <c r="K102" i="4"/>
  <c r="G103" i="4"/>
  <c r="H103" i="4"/>
  <c r="I103" i="4"/>
  <c r="J103" i="4"/>
  <c r="K103" i="4"/>
  <c r="G104" i="4"/>
  <c r="H104" i="4"/>
  <c r="I104" i="4"/>
  <c r="J104" i="4"/>
  <c r="K104" i="4"/>
  <c r="G105" i="4"/>
  <c r="H105" i="4"/>
  <c r="I105" i="4"/>
  <c r="J105" i="4"/>
  <c r="K105" i="4"/>
  <c r="G106" i="4"/>
  <c r="H106" i="4"/>
  <c r="I106" i="4"/>
  <c r="J106" i="4"/>
  <c r="K106" i="4"/>
  <c r="G107" i="4"/>
  <c r="H107" i="4"/>
  <c r="I107" i="4"/>
  <c r="J107" i="4"/>
  <c r="K107" i="4"/>
  <c r="G108" i="4"/>
  <c r="H108" i="4"/>
  <c r="I108" i="4"/>
  <c r="J108" i="4"/>
  <c r="K108" i="4"/>
  <c r="G109" i="4"/>
  <c r="H109" i="4"/>
  <c r="I109" i="4"/>
  <c r="J109" i="4"/>
  <c r="K109" i="4"/>
  <c r="G110" i="4"/>
  <c r="H110" i="4"/>
  <c r="I110" i="4"/>
  <c r="J110" i="4"/>
  <c r="K110" i="4"/>
  <c r="G111" i="4"/>
  <c r="H111" i="4"/>
  <c r="I111" i="4"/>
  <c r="J111" i="4"/>
  <c r="K111" i="4"/>
  <c r="G112" i="4"/>
  <c r="H112" i="4"/>
  <c r="I112" i="4"/>
  <c r="J112" i="4"/>
  <c r="K112" i="4"/>
  <c r="G113" i="4"/>
  <c r="H113" i="4"/>
  <c r="I113" i="4"/>
  <c r="J113" i="4"/>
  <c r="K113" i="4"/>
  <c r="H3" i="4"/>
  <c r="I3" i="4"/>
  <c r="J3" i="4"/>
  <c r="K3" i="4"/>
  <c r="G3" i="4"/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3" i="1"/>
  <c r="J3" i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3" i="1"/>
</calcChain>
</file>

<file path=xl/sharedStrings.xml><?xml version="1.0" encoding="utf-8"?>
<sst xmlns="http://schemas.openxmlformats.org/spreadsheetml/2006/main" count="758" uniqueCount="215">
  <si>
    <t>pop</t>
  </si>
  <si>
    <t>rgdpna</t>
  </si>
  <si>
    <t>ABW</t>
  </si>
  <si>
    <t>AGO</t>
  </si>
  <si>
    <t>AIA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</si>
  <si>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</si>
  <si>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</si>
  <si>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</si>
  <si>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</si>
  <si>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</si>
  <si>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</si>
  <si>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</si>
  <si>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</si>
  <si>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</si>
  <si>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</si>
  <si>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</si>
  <si>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</si>
  <si>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</si>
  <si>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</si>
  <si>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</si>
  <si>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</si>
  <si>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</si>
  <si>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</si>
  <si>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</si>
  <si>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</si>
  <si>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</si>
  <si>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</si>
  <si>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</si>
  <si>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</si>
  <si>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</si>
  <si>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</si>
  <si>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</si>
  <si>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</si>
  <si>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</si>
  <si>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</si>
  <si>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</si>
  <si>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</si>
  <si>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</si>
  <si>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</si>
  <si>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</si>
  <si>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</si>
  <si>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</si>
  <si>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</si>
  <si>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</si>
  <si>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</si>
  <si>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</si>
  <si>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</si>
  <si>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</si>
  <si>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</si>
  <si>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</si>
  <si>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</si>
  <si>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</si>
  <si>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</si>
  <si>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</si>
  <si>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</si>
  <si>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</si>
  <si>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</si>
  <si>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</si>
  <si>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</si>
  <si>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</si>
  <si>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</si>
  <si>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</si>
  <si>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</si>
  <si>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</si>
  <si>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</si>
  <si>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</si>
  <si>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</si>
  <si>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</si>
  <si>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</si>
  <si>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</si>
  <si>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</si>
  <si>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</si>
  <si>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</si>
  <si>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</si>
  <si>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</si>
  <si>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</si>
  <si>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</si>
  <si>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</si>
  <si>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</si>
  <si>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</si>
  <si>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</si>
  <si>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</si>
  <si>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</si>
  <si>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</si>
  <si>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</si>
  <si>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</si>
  <si>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</si>
  <si>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</si>
  <si>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</si>
  <si>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</si>
  <si>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</si>
  <si>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</si>
  <si>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</si>
  <si>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</si>
  <si>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</si>
  <si>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</si>
  <si>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</si>
  <si>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</si>
  <si>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</si>
  <si>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</si>
  <si>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LCA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</si>
  <si>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</si>
  <si>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</si>
  <si>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</si>
  <si>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</si>
  <si>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</si>
  <si>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</si>
  <si>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</si>
  <si>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</si>
  <si>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</si>
  <si>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</si>
  <si>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</si>
  <si>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</si>
  <si>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</si>
  <si>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</si>
  <si>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</si>
  <si>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</si>
  <si>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</si>
  <si>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</si>
  <si>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</si>
  <si>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MSR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</si>
  <si>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</si>
  <si>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</si>
  <si>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</si>
  <si>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</si>
  <si>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</si>
  <si>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</si>
  <si>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</si>
  <si>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</si>
  <si>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</si>
  <si>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</si>
  <si>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</si>
  <si>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</si>
  <si>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</si>
  <si>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</si>
  <si>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</si>
  <si>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</si>
  <si>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</si>
  <si>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</si>
  <si>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</si>
  <si>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</si>
  <si>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</si>
  <si>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</si>
  <si>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</si>
  <si>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</si>
  <si>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</si>
  <si>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</si>
  <si>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</si>
  <si>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</si>
  <si>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</si>
  <si>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</si>
  <si>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</si>
  <si>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</si>
  <si>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</si>
  <si>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</si>
  <si>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</si>
  <si>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</si>
  <si>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</si>
  <si>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</si>
  <si>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</si>
  <si>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</si>
  <si>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</si>
  <si>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</si>
  <si>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</si>
  <si>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</si>
  <si>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</si>
  <si>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</si>
  <si>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</si>
  <si>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</si>
  <si>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</si>
  <si>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</si>
  <si>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</si>
  <si>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</si>
  <si>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</si>
  <si>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</si>
  <si>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</si>
  <si>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</si>
  <si>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</si>
  <si>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</si>
  <si>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</si>
  <si>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VNM</t>
  </si>
  <si>
    <t>YEM</t>
  </si>
  <si>
    <t>ZAF</t>
  </si>
  <si>
    <t>ZMB</t>
  </si>
  <si>
    <t>ZWE</t>
  </si>
  <si>
    <t>per capita</t>
  </si>
  <si>
    <t>growth</t>
  </si>
  <si>
    <t>1960-2019</t>
  </si>
  <si>
    <t>2000-2019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</si>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</sst>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Fill="1" applyBorder="1" applyAlignment="1"/>
    <xf numFmtId="0" fontId="0" fillId="0" borderId="7" xfId="0" applyFill="1" applyBorder="1" applyAlignment="1"/>
    <xf numFmtId="0" fontId="2" fillId="0" borderId="8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Continuous"/>
    </xf>
    <xf numFmtId="0" fontId="1" fillId="0" borderId="2" xfId="1" applyBorder="1" applyAlignment="1">
      <alignment vertical="center" wrapText="1"/>
    </xf>
    <xf numFmtId="0" fontId="1" fillId="0" borderId="3" xfId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BB6A-9F5E-40FD-8BBE-9C5A63B06955}">
  <dimension ref="A1:M185"/>
  <sheetViews>
    <sheetView topLeftCell="A110" workbookViewId="0">
      <selection sqref="A1:M185"/>
    </sheetView>
  </sheetViews>
  <sheetFormatPr defaultRowHeight="14.25" x14ac:dyDescent="0.45"/>
  <sheetData>
    <row r="1" spans="1:13" ht="14.25" customHeight="1" x14ac:dyDescent="0.45">
      <c r="A1" s="8"/>
      <c r="B1" s="1"/>
      <c r="C1" s="10" t="s">
        <v>0</v>
      </c>
      <c r="D1" s="11"/>
      <c r="E1" s="12"/>
      <c r="F1" s="10" t="s">
        <v>1</v>
      </c>
      <c r="G1" s="11"/>
      <c r="H1" s="12"/>
      <c r="I1" t="s">
        <v>185</v>
      </c>
      <c r="L1" t="s">
        <v>186</v>
      </c>
    </row>
    <row r="2" spans="1:13" x14ac:dyDescent="0.45">
      <c r="A2" s="9"/>
      <c r="B2" s="1"/>
      <c r="C2" s="2">
        <v>1960</v>
      </c>
      <c r="D2" s="2">
        <v>2000</v>
      </c>
      <c r="E2" s="2">
        <v>2019</v>
      </c>
      <c r="F2" s="2">
        <v>1960</v>
      </c>
      <c r="G2" s="2">
        <v>2000</v>
      </c>
      <c r="H2" s="2">
        <v>2019</v>
      </c>
      <c r="I2" s="2">
        <v>1960</v>
      </c>
      <c r="J2" s="2">
        <v>2000</v>
      </c>
      <c r="K2" s="2">
        <v>2019</v>
      </c>
      <c r="L2" t="s">
        <v>187</v>
      </c>
      <c r="M2" t="s">
        <v>188</v>
      </c>
    </row>
    <row r="3" spans="1:13" x14ac:dyDescent="0.45">
      <c r="A3" s="1" t="s">
        <v>2</v>
      </c>
      <c r="B3" s="1"/>
      <c r="C3" s="3"/>
      <c r="D3" s="3">
        <v>9.0899999999999995E-2</v>
      </c>
      <c r="E3" s="3">
        <v>0.10630000000000001</v>
      </c>
      <c r="F3" s="3"/>
      <c r="G3" s="3">
        <v>2836.9119000000001</v>
      </c>
      <c r="H3" s="3">
        <v>3068.7583</v>
      </c>
      <c r="I3" t="e">
        <f>F3/C3</f>
        <v>#DIV/0!</v>
      </c>
      <c r="J3">
        <f t="shared" ref="J3:K18" si="0">G3/D3</f>
        <v>31209.151815181522</v>
      </c>
      <c r="K3">
        <f t="shared" si="0"/>
        <v>28868.845719661334</v>
      </c>
      <c r="L3" t="e">
        <f>(K3/I3)^(1/59)-1</f>
        <v>#DIV/0!</v>
      </c>
      <c r="M3">
        <f>(K3/J3)^(1/19)-1</f>
        <v>-4.0941417578017614E-3</v>
      </c>
    </row>
    <row r="4" spans="1:13" x14ac:dyDescent="0.45">
      <c r="A4" s="1" t="s">
        <v>3</v>
      </c>
      <c r="B4" s="1"/>
      <c r="C4" s="3"/>
      <c r="D4" s="3">
        <v>16.395499999999998</v>
      </c>
      <c r="E4" s="3">
        <v>31.825299999999999</v>
      </c>
      <c r="F4" s="3"/>
      <c r="G4" s="3">
        <v>81636.476599999995</v>
      </c>
      <c r="H4" s="3">
        <v>222151.0625</v>
      </c>
      <c r="I4" t="e">
        <f t="shared" ref="I4:I67" si="1">F4/C4</f>
        <v>#DIV/0!</v>
      </c>
      <c r="J4">
        <f t="shared" si="0"/>
        <v>4979.2001829770361</v>
      </c>
      <c r="K4">
        <f t="shared" si="0"/>
        <v>6980.3289364122256</v>
      </c>
      <c r="L4" t="e">
        <f t="shared" ref="L4:L67" si="2">(K4/I4)^(1/59)-1</f>
        <v>#DIV/0!</v>
      </c>
      <c r="M4">
        <f t="shared" ref="M4:M67" si="3">(K4/J4)^(1/19)-1</f>
        <v>1.7939367822359609E-2</v>
      </c>
    </row>
    <row r="5" spans="1:13" x14ac:dyDescent="0.45">
      <c r="A5" s="1" t="s">
        <v>4</v>
      </c>
      <c r="B5" s="1"/>
      <c r="C5" s="3"/>
      <c r="D5" s="3">
        <v>1.1299999999999999E-2</v>
      </c>
      <c r="E5" s="3">
        <v>1.49E-2</v>
      </c>
      <c r="F5" s="3"/>
      <c r="G5" s="3">
        <v>145.3647</v>
      </c>
      <c r="H5" s="3">
        <v>223.45670000000001</v>
      </c>
      <c r="I5" t="e">
        <f t="shared" si="1"/>
        <v>#DIV/0!</v>
      </c>
      <c r="J5">
        <f t="shared" si="0"/>
        <v>12864.132743362832</v>
      </c>
      <c r="K5">
        <f t="shared" si="0"/>
        <v>14997.093959731545</v>
      </c>
      <c r="L5" t="e">
        <f t="shared" si="2"/>
        <v>#DIV/0!</v>
      </c>
      <c r="M5">
        <f t="shared" si="3"/>
        <v>8.107076063055052E-3</v>
      </c>
    </row>
    <row r="6" spans="1:13" x14ac:dyDescent="0.45">
      <c r="A6" s="1" t="s">
        <v>5</v>
      </c>
      <c r="B6" s="1"/>
      <c r="C6" s="3"/>
      <c r="D6" s="3">
        <v>3.1292</v>
      </c>
      <c r="E6" s="3">
        <v>2.8809</v>
      </c>
      <c r="F6" s="3"/>
      <c r="G6" s="3">
        <v>17348.265599999999</v>
      </c>
      <c r="H6" s="3">
        <v>37204.773399999998</v>
      </c>
      <c r="I6" t="e">
        <f t="shared" si="1"/>
        <v>#DIV/0!</v>
      </c>
      <c r="J6">
        <f t="shared" si="0"/>
        <v>5543.9938642464522</v>
      </c>
      <c r="K6">
        <f t="shared" si="0"/>
        <v>12914.288382102814</v>
      </c>
      <c r="L6" t="e">
        <f t="shared" si="2"/>
        <v>#DIV/0!</v>
      </c>
      <c r="M6">
        <f t="shared" si="3"/>
        <v>4.551153423575327E-2</v>
      </c>
    </row>
    <row r="7" spans="1:13" x14ac:dyDescent="0.45">
      <c r="A7" s="1" t="s">
        <v>6</v>
      </c>
      <c r="B7" s="1"/>
      <c r="C7" s="3"/>
      <c r="D7" s="3">
        <v>3.1341000000000001</v>
      </c>
      <c r="E7" s="3">
        <v>9.7705000000000002</v>
      </c>
      <c r="F7" s="3"/>
      <c r="G7" s="3">
        <v>317374.625</v>
      </c>
      <c r="H7" s="3">
        <v>647986.25</v>
      </c>
      <c r="I7" t="e">
        <f t="shared" si="1"/>
        <v>#DIV/0!</v>
      </c>
      <c r="J7">
        <f t="shared" si="0"/>
        <v>101264.99633068504</v>
      </c>
      <c r="K7">
        <f t="shared" si="0"/>
        <v>66320.684714190676</v>
      </c>
      <c r="L7" t="e">
        <f t="shared" si="2"/>
        <v>#DIV/0!</v>
      </c>
      <c r="M7">
        <f t="shared" si="3"/>
        <v>-2.2029463183345976E-2</v>
      </c>
    </row>
    <row r="8" spans="1:13" x14ac:dyDescent="0.45">
      <c r="A8" s="1" t="s">
        <v>7</v>
      </c>
      <c r="B8" s="1"/>
      <c r="C8" s="3">
        <v>20.5457</v>
      </c>
      <c r="D8" s="3">
        <v>36.870800000000003</v>
      </c>
      <c r="E8" s="3">
        <v>44.780700000000003</v>
      </c>
      <c r="F8" s="3">
        <v>270342</v>
      </c>
      <c r="G8" s="3">
        <v>676603.6875</v>
      </c>
      <c r="H8" s="3">
        <v>975569</v>
      </c>
      <c r="I8">
        <f t="shared" si="1"/>
        <v>13158.081739731428</v>
      </c>
      <c r="J8">
        <f t="shared" si="0"/>
        <v>18350.664685876083</v>
      </c>
      <c r="K8">
        <f t="shared" si="0"/>
        <v>21785.47901216372</v>
      </c>
      <c r="L8">
        <f t="shared" si="2"/>
        <v>8.5825101337348997E-3</v>
      </c>
      <c r="M8">
        <f t="shared" si="3"/>
        <v>9.0713104045490045E-3</v>
      </c>
    </row>
    <row r="9" spans="1:13" x14ac:dyDescent="0.45">
      <c r="A9" s="1" t="s">
        <v>8</v>
      </c>
      <c r="B9" s="1"/>
      <c r="C9" s="3"/>
      <c r="D9" s="3">
        <v>3.0695999999999999</v>
      </c>
      <c r="E9" s="3">
        <v>2.9577</v>
      </c>
      <c r="F9" s="3"/>
      <c r="G9" s="3">
        <v>13107.6016</v>
      </c>
      <c r="H9" s="3">
        <v>43260.195299999999</v>
      </c>
      <c r="I9" t="e">
        <f t="shared" si="1"/>
        <v>#DIV/0!</v>
      </c>
      <c r="J9">
        <f t="shared" si="0"/>
        <v>4270.133437581444</v>
      </c>
      <c r="K9">
        <f t="shared" si="0"/>
        <v>14626.29587179227</v>
      </c>
      <c r="L9" t="e">
        <f t="shared" si="2"/>
        <v>#DIV/0!</v>
      </c>
      <c r="M9">
        <f t="shared" si="3"/>
        <v>6.6944261654816817E-2</v>
      </c>
    </row>
    <row r="10" spans="1:13" x14ac:dyDescent="0.45">
      <c r="A10" s="1" t="s">
        <v>9</v>
      </c>
      <c r="B10" s="1"/>
      <c r="C10" s="3"/>
      <c r="D10" s="3">
        <v>7.5999999999999998E-2</v>
      </c>
      <c r="E10" s="3">
        <v>9.7100000000000006E-2</v>
      </c>
      <c r="F10" s="3"/>
      <c r="G10" s="3">
        <v>1005.39</v>
      </c>
      <c r="H10" s="3">
        <v>1511.5450000000001</v>
      </c>
      <c r="I10" t="e">
        <f t="shared" si="1"/>
        <v>#DIV/0!</v>
      </c>
      <c r="J10">
        <f t="shared" si="0"/>
        <v>13228.815789473685</v>
      </c>
      <c r="K10">
        <f t="shared" si="0"/>
        <v>15566.889804325438</v>
      </c>
      <c r="L10" t="e">
        <f t="shared" si="2"/>
        <v>#DIV/0!</v>
      </c>
      <c r="M10">
        <f t="shared" si="3"/>
        <v>8.6025142330954374E-3</v>
      </c>
    </row>
    <row r="11" spans="1:13" x14ac:dyDescent="0.45">
      <c r="A11" s="1" t="s">
        <v>10</v>
      </c>
      <c r="B11" s="1"/>
      <c r="C11" s="3">
        <v>10.47</v>
      </c>
      <c r="D11" s="3">
        <v>18.991399999999999</v>
      </c>
      <c r="E11" s="3">
        <v>25.203199999999999</v>
      </c>
      <c r="F11" s="3">
        <v>185281.2813</v>
      </c>
      <c r="G11" s="3">
        <v>787359.5</v>
      </c>
      <c r="H11" s="3">
        <v>1315734.25</v>
      </c>
      <c r="I11">
        <f t="shared" si="1"/>
        <v>17696.397449856733</v>
      </c>
      <c r="J11">
        <f t="shared" si="0"/>
        <v>41458.739218804301</v>
      </c>
      <c r="K11">
        <f t="shared" si="0"/>
        <v>52205.047374936519</v>
      </c>
      <c r="L11">
        <f t="shared" si="2"/>
        <v>1.8505034749068283E-2</v>
      </c>
      <c r="M11">
        <f t="shared" si="3"/>
        <v>1.2204425459765966E-2</v>
      </c>
    </row>
    <row r="12" spans="1:13" x14ac:dyDescent="0.45">
      <c r="A12" s="1" t="s">
        <v>11</v>
      </c>
      <c r="B12" s="1"/>
      <c r="C12" s="3">
        <v>7.0937999999999999</v>
      </c>
      <c r="D12" s="3">
        <v>8.0693000000000001</v>
      </c>
      <c r="E12" s="3">
        <v>8.9550999999999998</v>
      </c>
      <c r="F12" s="3">
        <v>98201.617199999993</v>
      </c>
      <c r="G12" s="3">
        <v>357462.09379999997</v>
      </c>
      <c r="H12" s="3">
        <v>476723.3125</v>
      </c>
      <c r="I12">
        <f t="shared" si="1"/>
        <v>13843.302207561532</v>
      </c>
      <c r="J12">
        <f t="shared" si="0"/>
        <v>44299.02145167486</v>
      </c>
      <c r="K12">
        <f t="shared" si="0"/>
        <v>53234.839644448417</v>
      </c>
      <c r="L12">
        <f t="shared" si="2"/>
        <v>2.3091585327341679E-2</v>
      </c>
      <c r="M12">
        <f t="shared" si="3"/>
        <v>9.7179936162627989E-3</v>
      </c>
    </row>
    <row r="13" spans="1:13" x14ac:dyDescent="0.45">
      <c r="A13" s="1" t="s">
        <v>12</v>
      </c>
      <c r="B13" s="1"/>
      <c r="C13" s="3"/>
      <c r="D13" s="3">
        <v>8.1227</v>
      </c>
      <c r="E13" s="3">
        <v>10.047700000000001</v>
      </c>
      <c r="F13" s="3"/>
      <c r="G13" s="3">
        <v>32606.136699999999</v>
      </c>
      <c r="H13" s="3">
        <v>143939.8125</v>
      </c>
      <c r="I13" t="e">
        <f t="shared" si="1"/>
        <v>#DIV/0!</v>
      </c>
      <c r="J13">
        <f t="shared" si="0"/>
        <v>4014.199305649599</v>
      </c>
      <c r="K13">
        <f t="shared" si="0"/>
        <v>14325.647909471818</v>
      </c>
      <c r="L13" t="e">
        <f t="shared" si="2"/>
        <v>#DIV/0!</v>
      </c>
      <c r="M13">
        <f t="shared" si="3"/>
        <v>6.9251220899501309E-2</v>
      </c>
    </row>
    <row r="14" spans="1:13" x14ac:dyDescent="0.45">
      <c r="A14" s="1" t="s">
        <v>13</v>
      </c>
      <c r="B14" s="1"/>
      <c r="C14" s="3">
        <v>2.7812000000000001</v>
      </c>
      <c r="D14" s="3">
        <v>6.3788999999999998</v>
      </c>
      <c r="E14" s="3">
        <v>11.5306</v>
      </c>
      <c r="F14" s="3">
        <v>1941.1539</v>
      </c>
      <c r="G14" s="3">
        <v>5086.0132000000003</v>
      </c>
      <c r="H14" s="3">
        <v>9250.6758000000009</v>
      </c>
      <c r="I14">
        <f t="shared" si="1"/>
        <v>697.95552279591539</v>
      </c>
      <c r="J14">
        <f t="shared" si="0"/>
        <v>797.31822100989211</v>
      </c>
      <c r="K14">
        <f t="shared" si="0"/>
        <v>802.27185055417772</v>
      </c>
      <c r="L14">
        <f t="shared" si="2"/>
        <v>2.3636727481011199E-3</v>
      </c>
      <c r="M14">
        <f t="shared" si="3"/>
        <v>3.2603437813150116E-4</v>
      </c>
    </row>
    <row r="15" spans="1:13" x14ac:dyDescent="0.45">
      <c r="A15" s="1" t="s">
        <v>14</v>
      </c>
      <c r="B15" s="1"/>
      <c r="C15" s="3">
        <v>9.1134000000000004</v>
      </c>
      <c r="D15" s="3">
        <v>10.282</v>
      </c>
      <c r="E15" s="3">
        <v>11.539300000000001</v>
      </c>
      <c r="F15" s="3">
        <v>115497.2969</v>
      </c>
      <c r="G15" s="3">
        <v>396405.15629999997</v>
      </c>
      <c r="H15" s="3">
        <v>534102.3125</v>
      </c>
      <c r="I15">
        <f t="shared" si="1"/>
        <v>12673.348794083437</v>
      </c>
      <c r="J15">
        <f t="shared" si="0"/>
        <v>38553.312225248003</v>
      </c>
      <c r="K15">
        <f t="shared" si="0"/>
        <v>46285.503670066639</v>
      </c>
      <c r="L15">
        <f t="shared" si="2"/>
        <v>2.2197482173478944E-2</v>
      </c>
      <c r="M15">
        <f t="shared" si="3"/>
        <v>9.6667822824061389E-3</v>
      </c>
    </row>
    <row r="16" spans="1:13" x14ac:dyDescent="0.45">
      <c r="A16" s="1" t="s">
        <v>15</v>
      </c>
      <c r="B16" s="1"/>
      <c r="C16" s="3">
        <v>2.2846000000000002</v>
      </c>
      <c r="D16" s="3">
        <v>6.8659999999999997</v>
      </c>
      <c r="E16" s="3">
        <v>11.8012</v>
      </c>
      <c r="F16" s="3">
        <v>2509.5444000000002</v>
      </c>
      <c r="G16" s="3">
        <v>12220.0967</v>
      </c>
      <c r="H16" s="3">
        <v>39131.945299999999</v>
      </c>
      <c r="I16">
        <f t="shared" si="1"/>
        <v>1098.461174822726</v>
      </c>
      <c r="J16">
        <f t="shared" si="0"/>
        <v>1779.7985289833966</v>
      </c>
      <c r="K16">
        <f t="shared" si="0"/>
        <v>3315.929337694472</v>
      </c>
      <c r="L16">
        <f t="shared" si="2"/>
        <v>1.8902321596529825E-2</v>
      </c>
      <c r="M16">
        <f t="shared" si="3"/>
        <v>3.3291518006099086E-2</v>
      </c>
    </row>
    <row r="17" spans="1:13" x14ac:dyDescent="0.45">
      <c r="A17" s="1" t="s">
        <v>16</v>
      </c>
      <c r="B17" s="1"/>
      <c r="C17" s="3">
        <v>5.1600999999999999</v>
      </c>
      <c r="D17" s="3">
        <v>11.607900000000001</v>
      </c>
      <c r="E17" s="3">
        <v>20.321400000000001</v>
      </c>
      <c r="F17" s="3">
        <v>3841.9421000000002</v>
      </c>
      <c r="G17" s="3">
        <v>14133.5664</v>
      </c>
      <c r="H17" s="3">
        <v>41563.882799999999</v>
      </c>
      <c r="I17">
        <f t="shared" si="1"/>
        <v>744.54799325594468</v>
      </c>
      <c r="J17">
        <f t="shared" si="0"/>
        <v>1217.5816814410875</v>
      </c>
      <c r="K17">
        <f t="shared" si="0"/>
        <v>2045.3257551152972</v>
      </c>
      <c r="L17">
        <f t="shared" si="2"/>
        <v>1.7275232757421266E-2</v>
      </c>
      <c r="M17">
        <f t="shared" si="3"/>
        <v>2.7675540475651017E-2</v>
      </c>
    </row>
    <row r="18" spans="1:13" x14ac:dyDescent="0.45">
      <c r="A18" s="1" t="s">
        <v>17</v>
      </c>
      <c r="B18" s="1"/>
      <c r="C18" s="3">
        <v>52.080100000000002</v>
      </c>
      <c r="D18" s="3">
        <v>127.6579</v>
      </c>
      <c r="E18" s="3">
        <v>163.0462</v>
      </c>
      <c r="F18" s="3">
        <v>79232.656300000002</v>
      </c>
      <c r="G18" s="3">
        <v>240567.82810000001</v>
      </c>
      <c r="H18" s="3">
        <v>766135.3125</v>
      </c>
      <c r="I18">
        <f t="shared" si="1"/>
        <v>1521.3614470786347</v>
      </c>
      <c r="J18">
        <f t="shared" si="0"/>
        <v>1884.4727047836445</v>
      </c>
      <c r="K18">
        <f t="shared" si="0"/>
        <v>4698.8848099495726</v>
      </c>
      <c r="L18">
        <f t="shared" si="2"/>
        <v>1.9297731090926362E-2</v>
      </c>
      <c r="M18">
        <f t="shared" si="3"/>
        <v>4.9263271170562728E-2</v>
      </c>
    </row>
    <row r="19" spans="1:13" x14ac:dyDescent="0.45">
      <c r="A19" s="1" t="s">
        <v>18</v>
      </c>
      <c r="B19" s="1"/>
      <c r="C19" s="3"/>
      <c r="D19" s="3">
        <v>7.9980000000000002</v>
      </c>
      <c r="E19" s="3">
        <v>7.0000999999999998</v>
      </c>
      <c r="F19" s="3"/>
      <c r="G19" s="3">
        <v>76621.210900000005</v>
      </c>
      <c r="H19" s="3">
        <v>148186.92189999999</v>
      </c>
      <c r="I19" t="e">
        <f t="shared" si="1"/>
        <v>#DIV/0!</v>
      </c>
      <c r="J19">
        <f t="shared" ref="J19:J82" si="4">G19/D19</f>
        <v>9580.0463740935229</v>
      </c>
      <c r="K19">
        <f t="shared" ref="K19:K82" si="5">H19/E19</f>
        <v>21169.257853459236</v>
      </c>
      <c r="L19" t="e">
        <f t="shared" si="2"/>
        <v>#DIV/0!</v>
      </c>
      <c r="M19">
        <f t="shared" si="3"/>
        <v>4.2612803296362189E-2</v>
      </c>
    </row>
    <row r="20" spans="1:13" x14ac:dyDescent="0.45">
      <c r="A20" s="1" t="s">
        <v>19</v>
      </c>
      <c r="B20" s="1"/>
      <c r="C20" s="3"/>
      <c r="D20" s="3">
        <v>0.66459999999999997</v>
      </c>
      <c r="E20" s="3">
        <v>1.6412</v>
      </c>
      <c r="F20" s="3"/>
      <c r="G20" s="3">
        <v>33888.070299999999</v>
      </c>
      <c r="H20" s="3">
        <v>76237.617199999993</v>
      </c>
      <c r="I20" t="e">
        <f t="shared" si="1"/>
        <v>#DIV/0!</v>
      </c>
      <c r="J20">
        <f t="shared" si="4"/>
        <v>50990.174992476677</v>
      </c>
      <c r="K20">
        <f t="shared" si="5"/>
        <v>46452.362417743112</v>
      </c>
      <c r="L20" t="e">
        <f t="shared" si="2"/>
        <v>#DIV/0!</v>
      </c>
      <c r="M20">
        <f t="shared" si="3"/>
        <v>-4.8935475811492379E-3</v>
      </c>
    </row>
    <row r="21" spans="1:13" x14ac:dyDescent="0.45">
      <c r="A21" s="1" t="s">
        <v>20</v>
      </c>
      <c r="B21" s="1"/>
      <c r="C21" s="3"/>
      <c r="D21" s="3">
        <v>0.29809999999999998</v>
      </c>
      <c r="E21" s="3">
        <v>0.38950000000000001</v>
      </c>
      <c r="F21" s="3"/>
      <c r="G21" s="3">
        <v>10646.925800000001</v>
      </c>
      <c r="H21" s="3">
        <v>12739.7637</v>
      </c>
      <c r="I21" t="e">
        <f t="shared" si="1"/>
        <v>#DIV/0!</v>
      </c>
      <c r="J21">
        <f t="shared" si="4"/>
        <v>35715.9537068098</v>
      </c>
      <c r="K21">
        <f t="shared" si="5"/>
        <v>32707.994094993581</v>
      </c>
      <c r="L21" t="e">
        <f t="shared" si="2"/>
        <v>#DIV/0!</v>
      </c>
      <c r="M21">
        <f t="shared" si="3"/>
        <v>-4.6197148621039963E-3</v>
      </c>
    </row>
    <row r="22" spans="1:13" x14ac:dyDescent="0.45">
      <c r="A22" s="1" t="s">
        <v>21</v>
      </c>
      <c r="B22" s="1"/>
      <c r="C22" s="3"/>
      <c r="D22" s="3">
        <v>3.7511999999999999</v>
      </c>
      <c r="E22" s="3">
        <v>3.3010000000000002</v>
      </c>
      <c r="F22" s="3"/>
      <c r="G22" s="3">
        <v>26159.345700000002</v>
      </c>
      <c r="H22" s="3">
        <v>45161.164100000002</v>
      </c>
      <c r="I22" t="e">
        <f t="shared" si="1"/>
        <v>#DIV/0!</v>
      </c>
      <c r="J22">
        <f t="shared" si="4"/>
        <v>6973.5939699296232</v>
      </c>
      <c r="K22">
        <f t="shared" si="5"/>
        <v>13681.055468039987</v>
      </c>
      <c r="L22" t="e">
        <f t="shared" si="2"/>
        <v>#DIV/0!</v>
      </c>
      <c r="M22">
        <f t="shared" si="3"/>
        <v>3.610391079757469E-2</v>
      </c>
    </row>
    <row r="23" spans="1:13" x14ac:dyDescent="0.45">
      <c r="A23" s="1" t="s">
        <v>22</v>
      </c>
      <c r="B23" s="1"/>
      <c r="C23" s="3"/>
      <c r="D23" s="3">
        <v>9.8716000000000008</v>
      </c>
      <c r="E23" s="3">
        <v>9.4524000000000008</v>
      </c>
      <c r="F23" s="3"/>
      <c r="G23" s="3">
        <v>88715.734400000001</v>
      </c>
      <c r="H23" s="3">
        <v>200419.1875</v>
      </c>
      <c r="I23" t="e">
        <f t="shared" si="1"/>
        <v>#DIV/0!</v>
      </c>
      <c r="J23">
        <f t="shared" si="4"/>
        <v>8986.9660845253038</v>
      </c>
      <c r="K23">
        <f t="shared" si="5"/>
        <v>21202.994742076084</v>
      </c>
      <c r="L23" t="e">
        <f t="shared" si="2"/>
        <v>#DIV/0!</v>
      </c>
      <c r="M23">
        <f t="shared" si="3"/>
        <v>4.6213249995194827E-2</v>
      </c>
    </row>
    <row r="24" spans="1:13" x14ac:dyDescent="0.45">
      <c r="A24" s="1" t="s">
        <v>23</v>
      </c>
      <c r="B24" s="1"/>
      <c r="C24" s="3"/>
      <c r="D24" s="3">
        <v>0.24729999999999999</v>
      </c>
      <c r="E24" s="3">
        <v>0.39040000000000002</v>
      </c>
      <c r="F24" s="3"/>
      <c r="G24" s="3">
        <v>1406.481</v>
      </c>
      <c r="H24" s="3">
        <v>2384.4171999999999</v>
      </c>
      <c r="I24" t="e">
        <f t="shared" si="1"/>
        <v>#DIV/0!</v>
      </c>
      <c r="J24">
        <f t="shared" si="4"/>
        <v>5687.3473513950667</v>
      </c>
      <c r="K24">
        <f t="shared" si="5"/>
        <v>6107.6260245901631</v>
      </c>
      <c r="L24" t="e">
        <f t="shared" si="2"/>
        <v>#DIV/0!</v>
      </c>
      <c r="M24">
        <f t="shared" si="3"/>
        <v>3.7593758314273806E-3</v>
      </c>
    </row>
    <row r="25" spans="1:13" x14ac:dyDescent="0.45">
      <c r="A25" s="1" t="s">
        <v>24</v>
      </c>
      <c r="B25" s="1"/>
      <c r="C25" s="3"/>
      <c r="D25" s="3">
        <v>6.5000000000000002E-2</v>
      </c>
      <c r="E25" s="3">
        <v>6.25E-2</v>
      </c>
      <c r="F25" s="3"/>
      <c r="G25" s="3">
        <v>2710.5565999999999</v>
      </c>
      <c r="H25" s="3">
        <v>3258.4353000000001</v>
      </c>
      <c r="I25" t="e">
        <f t="shared" si="1"/>
        <v>#DIV/0!</v>
      </c>
      <c r="J25">
        <f t="shared" si="4"/>
        <v>41700.870769230765</v>
      </c>
      <c r="K25">
        <f t="shared" si="5"/>
        <v>52134.964800000002</v>
      </c>
      <c r="L25" t="e">
        <f t="shared" si="2"/>
        <v>#DIV/0!</v>
      </c>
      <c r="M25">
        <f t="shared" si="3"/>
        <v>1.1822701217264475E-2</v>
      </c>
    </row>
    <row r="26" spans="1:13" x14ac:dyDescent="0.45">
      <c r="A26" s="1" t="s">
        <v>25</v>
      </c>
      <c r="B26" s="1"/>
      <c r="C26" s="3">
        <v>3.5428999999999999</v>
      </c>
      <c r="D26" s="3">
        <v>8.4183000000000003</v>
      </c>
      <c r="E26" s="3">
        <v>11.5131</v>
      </c>
      <c r="F26" s="3">
        <v>15939.5322</v>
      </c>
      <c r="G26" s="3">
        <v>44253.515599999999</v>
      </c>
      <c r="H26" s="3">
        <v>97502.523400000005</v>
      </c>
      <c r="I26">
        <f t="shared" si="1"/>
        <v>4499.0070845917189</v>
      </c>
      <c r="J26">
        <f t="shared" si="4"/>
        <v>5256.823301616716</v>
      </c>
      <c r="K26">
        <f t="shared" si="5"/>
        <v>8468.8331900183275</v>
      </c>
      <c r="L26">
        <f t="shared" si="2"/>
        <v>1.0778624740136911E-2</v>
      </c>
      <c r="M26">
        <f t="shared" si="3"/>
        <v>2.5415813137628529E-2</v>
      </c>
    </row>
    <row r="27" spans="1:13" x14ac:dyDescent="0.45">
      <c r="A27" s="1" t="s">
        <v>26</v>
      </c>
      <c r="B27" s="1"/>
      <c r="C27" s="3">
        <v>71.266900000000007</v>
      </c>
      <c r="D27" s="3">
        <v>174.7903</v>
      </c>
      <c r="E27" s="3">
        <v>211.04949999999999</v>
      </c>
      <c r="F27" s="3">
        <v>285613.4375</v>
      </c>
      <c r="G27" s="3">
        <v>2005781.25</v>
      </c>
      <c r="H27" s="3">
        <v>3042119</v>
      </c>
      <c r="I27">
        <f t="shared" si="1"/>
        <v>4007.6590605175752</v>
      </c>
      <c r="J27">
        <f t="shared" si="4"/>
        <v>11475.357900295383</v>
      </c>
      <c r="K27">
        <f t="shared" si="5"/>
        <v>14414.244051750893</v>
      </c>
      <c r="L27">
        <f t="shared" si="2"/>
        <v>2.1932127204829399E-2</v>
      </c>
      <c r="M27">
        <f t="shared" si="3"/>
        <v>1.2073084829683278E-2</v>
      </c>
    </row>
    <row r="28" spans="1:13" x14ac:dyDescent="0.45">
      <c r="A28" s="1" t="s">
        <v>27</v>
      </c>
      <c r="B28" s="1"/>
      <c r="C28" s="3">
        <v>0.23250000000000001</v>
      </c>
      <c r="D28" s="3">
        <v>0.27150000000000002</v>
      </c>
      <c r="E28" s="3">
        <v>0.28699999999999998</v>
      </c>
      <c r="F28" s="3">
        <v>963.4434</v>
      </c>
      <c r="G28" s="3">
        <v>3076.0731999999998</v>
      </c>
      <c r="H28" s="3">
        <v>3355.1042000000002</v>
      </c>
      <c r="I28">
        <f t="shared" si="1"/>
        <v>4143.8425806451614</v>
      </c>
      <c r="J28">
        <f t="shared" si="4"/>
        <v>11329.919705340699</v>
      </c>
      <c r="K28">
        <f t="shared" si="5"/>
        <v>11690.258536585368</v>
      </c>
      <c r="L28">
        <f t="shared" si="2"/>
        <v>1.7733926209340334E-2</v>
      </c>
      <c r="M28">
        <f t="shared" si="3"/>
        <v>1.6491954388555552E-3</v>
      </c>
    </row>
    <row r="29" spans="1:13" x14ac:dyDescent="0.45">
      <c r="A29" s="1" t="s">
        <v>28</v>
      </c>
      <c r="B29" s="1"/>
      <c r="C29" s="3"/>
      <c r="D29" s="3">
        <v>0.3332</v>
      </c>
      <c r="E29" s="3">
        <v>0.43330000000000002</v>
      </c>
      <c r="F29" s="3"/>
      <c r="G29" s="3">
        <v>24272.9863</v>
      </c>
      <c r="H29" s="3">
        <v>28401.2559</v>
      </c>
      <c r="I29" t="e">
        <f t="shared" si="1"/>
        <v>#DIV/0!</v>
      </c>
      <c r="J29">
        <f t="shared" si="4"/>
        <v>72848.098139255701</v>
      </c>
      <c r="K29">
        <f t="shared" si="5"/>
        <v>65546.401800138468</v>
      </c>
      <c r="L29" t="e">
        <f t="shared" si="2"/>
        <v>#DIV/0!</v>
      </c>
      <c r="M29">
        <f t="shared" si="3"/>
        <v>-5.5434260633617782E-3</v>
      </c>
    </row>
    <row r="30" spans="1:13" x14ac:dyDescent="0.45">
      <c r="A30" s="1" t="s">
        <v>29</v>
      </c>
      <c r="B30" s="1"/>
      <c r="C30" s="3"/>
      <c r="D30" s="3">
        <v>0.59099999999999997</v>
      </c>
      <c r="E30" s="3">
        <v>0.7631</v>
      </c>
      <c r="F30" s="3"/>
      <c r="G30" s="3">
        <v>2494.1052</v>
      </c>
      <c r="H30" s="3">
        <v>8922.6386999999995</v>
      </c>
      <c r="I30" t="e">
        <f t="shared" si="1"/>
        <v>#DIV/0!</v>
      </c>
      <c r="J30">
        <f t="shared" si="4"/>
        <v>4220.144162436548</v>
      </c>
      <c r="K30">
        <f t="shared" si="5"/>
        <v>11692.620495347923</v>
      </c>
      <c r="L30" t="e">
        <f t="shared" si="2"/>
        <v>#DIV/0!</v>
      </c>
      <c r="M30">
        <f t="shared" si="3"/>
        <v>5.5100732605438685E-2</v>
      </c>
    </row>
    <row r="31" spans="1:13" x14ac:dyDescent="0.45">
      <c r="A31" s="1" t="s">
        <v>30</v>
      </c>
      <c r="B31" s="1"/>
      <c r="C31" s="3">
        <v>0.53390000000000004</v>
      </c>
      <c r="D31" s="3">
        <v>1.6433</v>
      </c>
      <c r="E31" s="3">
        <v>2.3037000000000001</v>
      </c>
      <c r="F31" s="3">
        <v>439.07170000000002</v>
      </c>
      <c r="G31" s="3">
        <v>17660.5137</v>
      </c>
      <c r="H31" s="3">
        <v>38448.847699999998</v>
      </c>
      <c r="I31">
        <f t="shared" si="1"/>
        <v>822.38565274395955</v>
      </c>
      <c r="J31">
        <f t="shared" si="4"/>
        <v>10746.980892107345</v>
      </c>
      <c r="K31">
        <f t="shared" si="5"/>
        <v>16690.04110778313</v>
      </c>
      <c r="L31">
        <f t="shared" si="2"/>
        <v>5.2347115372350927E-2</v>
      </c>
      <c r="M31">
        <f t="shared" si="3"/>
        <v>2.343821136781532E-2</v>
      </c>
    </row>
    <row r="32" spans="1:13" x14ac:dyDescent="0.45">
      <c r="A32" s="1" t="s">
        <v>31</v>
      </c>
      <c r="B32" s="1"/>
      <c r="C32" s="3">
        <v>1.4450000000000001</v>
      </c>
      <c r="D32" s="3">
        <v>3.6404000000000001</v>
      </c>
      <c r="E32" s="3">
        <v>4.7451999999999996</v>
      </c>
      <c r="F32" s="3">
        <v>2730.0063</v>
      </c>
      <c r="G32" s="3">
        <v>4553.7280000000001</v>
      </c>
      <c r="H32" s="3">
        <v>4558.3940000000002</v>
      </c>
      <c r="I32">
        <f t="shared" si="1"/>
        <v>1889.2777162629757</v>
      </c>
      <c r="J32">
        <f t="shared" si="4"/>
        <v>1250.8867157455225</v>
      </c>
      <c r="K32">
        <f t="shared" si="5"/>
        <v>960.6326392986598</v>
      </c>
      <c r="L32">
        <f t="shared" si="2"/>
        <v>-1.1398233909264088E-2</v>
      </c>
      <c r="M32">
        <f t="shared" si="3"/>
        <v>-1.3799475033671627E-2</v>
      </c>
    </row>
    <row r="33" spans="1:13" x14ac:dyDescent="0.45">
      <c r="A33" s="1" t="s">
        <v>32</v>
      </c>
      <c r="B33" s="1"/>
      <c r="C33" s="3">
        <v>17.9513</v>
      </c>
      <c r="D33" s="3">
        <v>30.5884</v>
      </c>
      <c r="E33" s="3">
        <v>37.411000000000001</v>
      </c>
      <c r="F33" s="3">
        <v>310435.4375</v>
      </c>
      <c r="G33" s="3">
        <v>1290441.875</v>
      </c>
      <c r="H33" s="3">
        <v>1874187.25</v>
      </c>
      <c r="I33">
        <f t="shared" si="1"/>
        <v>17293.200910240485</v>
      </c>
      <c r="J33">
        <f t="shared" si="4"/>
        <v>42187.295674177141</v>
      </c>
      <c r="K33">
        <f t="shared" si="5"/>
        <v>50097.224078479587</v>
      </c>
      <c r="L33">
        <f t="shared" si="2"/>
        <v>1.8191488556188462E-2</v>
      </c>
      <c r="M33">
        <f t="shared" si="3"/>
        <v>9.0855767882069838E-3</v>
      </c>
    </row>
    <row r="34" spans="1:13" x14ac:dyDescent="0.45">
      <c r="A34" s="1" t="s">
        <v>33</v>
      </c>
      <c r="B34" s="1"/>
      <c r="C34" s="3">
        <v>5.2625999999999999</v>
      </c>
      <c r="D34" s="3">
        <v>7.1437999999999997</v>
      </c>
      <c r="E34" s="3">
        <v>8.5914000000000001</v>
      </c>
      <c r="F34" s="3">
        <v>180308.10939999999</v>
      </c>
      <c r="G34" s="3">
        <v>454798.34379999997</v>
      </c>
      <c r="H34" s="3">
        <v>648257.25</v>
      </c>
      <c r="I34">
        <f t="shared" si="1"/>
        <v>34262.172576293087</v>
      </c>
      <c r="J34">
        <f t="shared" si="4"/>
        <v>63663.364567877041</v>
      </c>
      <c r="K34">
        <f t="shared" si="5"/>
        <v>75454.204204204201</v>
      </c>
      <c r="L34">
        <f t="shared" si="2"/>
        <v>1.3471012123464465E-2</v>
      </c>
      <c r="M34">
        <f t="shared" si="3"/>
        <v>8.9830885965789253E-3</v>
      </c>
    </row>
    <row r="35" spans="1:13" x14ac:dyDescent="0.45">
      <c r="A35" s="1" t="s">
        <v>34</v>
      </c>
      <c r="B35" s="1"/>
      <c r="C35" s="3">
        <v>7.9210000000000003</v>
      </c>
      <c r="D35" s="3">
        <v>15.3424</v>
      </c>
      <c r="E35" s="3">
        <v>18.952000000000002</v>
      </c>
      <c r="F35" s="3">
        <v>46879.4375</v>
      </c>
      <c r="G35" s="3">
        <v>226200.57810000001</v>
      </c>
      <c r="H35" s="3">
        <v>443616.21879999997</v>
      </c>
      <c r="I35">
        <f t="shared" si="1"/>
        <v>5918.3736270672889</v>
      </c>
      <c r="J35">
        <f t="shared" si="4"/>
        <v>14743.493723276673</v>
      </c>
      <c r="K35">
        <f t="shared" si="5"/>
        <v>23407.356416209368</v>
      </c>
      <c r="L35">
        <f t="shared" si="2"/>
        <v>2.3578573514583701E-2</v>
      </c>
      <c r="M35">
        <f t="shared" si="3"/>
        <v>2.4627228288073733E-2</v>
      </c>
    </row>
    <row r="36" spans="1:13" x14ac:dyDescent="0.45">
      <c r="A36" s="1" t="s">
        <v>35</v>
      </c>
      <c r="B36" s="1"/>
      <c r="C36" s="3">
        <v>656.36940000000004</v>
      </c>
      <c r="D36" s="3">
        <v>1290.5508</v>
      </c>
      <c r="E36" s="3">
        <v>1433.7837</v>
      </c>
      <c r="F36" s="3">
        <v>689786.875</v>
      </c>
      <c r="G36" s="3">
        <v>5962253</v>
      </c>
      <c r="H36" s="3">
        <v>20572606</v>
      </c>
      <c r="I36">
        <f t="shared" si="1"/>
        <v>1050.9126034821245</v>
      </c>
      <c r="J36">
        <f t="shared" si="4"/>
        <v>4619.9289481669375</v>
      </c>
      <c r="K36">
        <f t="shared" si="5"/>
        <v>14348.472506696791</v>
      </c>
      <c r="L36">
        <f t="shared" si="2"/>
        <v>4.5300938118628453E-2</v>
      </c>
      <c r="M36">
        <f t="shared" si="3"/>
        <v>6.1460173499586324E-2</v>
      </c>
    </row>
    <row r="37" spans="1:13" x14ac:dyDescent="0.45">
      <c r="A37" s="1" t="s">
        <v>36</v>
      </c>
      <c r="B37" s="1"/>
      <c r="C37" s="3">
        <v>3.2704</v>
      </c>
      <c r="D37" s="3">
        <v>16.454699999999999</v>
      </c>
      <c r="E37" s="3">
        <v>25.7165</v>
      </c>
      <c r="F37" s="3">
        <v>8197.8623000000007</v>
      </c>
      <c r="G37" s="3">
        <v>45890.164100000002</v>
      </c>
      <c r="H37" s="3">
        <v>126227.2344</v>
      </c>
      <c r="I37">
        <f t="shared" si="1"/>
        <v>2506.6849009295502</v>
      </c>
      <c r="J37">
        <f t="shared" si="4"/>
        <v>2788.8788066631423</v>
      </c>
      <c r="K37">
        <f t="shared" si="5"/>
        <v>4908.4142243306824</v>
      </c>
      <c r="L37">
        <f t="shared" si="2"/>
        <v>1.1454766690012885E-2</v>
      </c>
      <c r="M37">
        <f t="shared" si="3"/>
        <v>3.0200274498500601E-2</v>
      </c>
    </row>
    <row r="38" spans="1:13" x14ac:dyDescent="0.45">
      <c r="A38" s="1" t="s">
        <v>37</v>
      </c>
      <c r="B38" s="1"/>
      <c r="C38" s="3">
        <v>5.4362000000000004</v>
      </c>
      <c r="D38" s="3">
        <v>15.5139</v>
      </c>
      <c r="E38" s="3">
        <v>25.8764</v>
      </c>
      <c r="F38" s="3">
        <v>13982.082</v>
      </c>
      <c r="G38" s="3">
        <v>42272.585899999998</v>
      </c>
      <c r="H38" s="3">
        <v>93489.343800000002</v>
      </c>
      <c r="I38">
        <f t="shared" si="1"/>
        <v>2572.0323019756447</v>
      </c>
      <c r="J38">
        <f t="shared" si="4"/>
        <v>2724.8200581414085</v>
      </c>
      <c r="K38">
        <f t="shared" si="5"/>
        <v>3612.9192546103786</v>
      </c>
      <c r="L38">
        <f t="shared" si="2"/>
        <v>5.7762752882171142E-3</v>
      </c>
      <c r="M38">
        <f t="shared" si="3"/>
        <v>1.4958870561945448E-2</v>
      </c>
    </row>
    <row r="39" spans="1:13" x14ac:dyDescent="0.45">
      <c r="A39" s="1" t="s">
        <v>38</v>
      </c>
      <c r="B39" s="1"/>
      <c r="C39" s="3">
        <v>15.2607</v>
      </c>
      <c r="D39" s="3">
        <v>47.105800000000002</v>
      </c>
      <c r="E39" s="3">
        <v>86.790599999999998</v>
      </c>
      <c r="F39" s="3">
        <v>42396.9375</v>
      </c>
      <c r="G39" s="3">
        <v>33634.136700000003</v>
      </c>
      <c r="H39" s="3">
        <v>90530.5</v>
      </c>
      <c r="I39">
        <f t="shared" si="1"/>
        <v>2778.1777703512944</v>
      </c>
      <c r="J39">
        <f t="shared" si="4"/>
        <v>714.01264175536778</v>
      </c>
      <c r="K39">
        <f t="shared" si="5"/>
        <v>1043.0910720746256</v>
      </c>
      <c r="L39">
        <f t="shared" si="2"/>
        <v>-1.6466425684629971E-2</v>
      </c>
      <c r="M39">
        <f t="shared" si="3"/>
        <v>2.0149960807276823E-2</v>
      </c>
    </row>
    <row r="40" spans="1:13" x14ac:dyDescent="0.45">
      <c r="A40" s="1" t="s">
        <v>39</v>
      </c>
      <c r="B40" s="1"/>
      <c r="C40" s="3">
        <v>1.0450999999999999</v>
      </c>
      <c r="D40" s="3">
        <v>3.1274000000000002</v>
      </c>
      <c r="E40" s="3">
        <v>5.3804999999999996</v>
      </c>
      <c r="F40" s="3">
        <v>2072.4802</v>
      </c>
      <c r="G40" s="3">
        <v>12647.299800000001</v>
      </c>
      <c r="H40" s="3">
        <v>19356.199199999999</v>
      </c>
      <c r="I40">
        <f t="shared" si="1"/>
        <v>1983.0448760884128</v>
      </c>
      <c r="J40">
        <f t="shared" si="4"/>
        <v>4044.030120867174</v>
      </c>
      <c r="K40">
        <f t="shared" si="5"/>
        <v>3597.4722051853919</v>
      </c>
      <c r="L40">
        <f t="shared" si="2"/>
        <v>1.0146005771224598E-2</v>
      </c>
      <c r="M40">
        <f t="shared" si="3"/>
        <v>-6.1395133651050982E-3</v>
      </c>
    </row>
    <row r="41" spans="1:13" x14ac:dyDescent="0.45">
      <c r="A41" s="1" t="s">
        <v>40</v>
      </c>
      <c r="B41" s="1"/>
      <c r="C41" s="3">
        <v>15.9903</v>
      </c>
      <c r="D41" s="3">
        <v>39.630000000000003</v>
      </c>
      <c r="E41" s="3">
        <v>50.339399999999998</v>
      </c>
      <c r="F41" s="3">
        <v>65859.656300000002</v>
      </c>
      <c r="G41" s="3">
        <v>339928.375</v>
      </c>
      <c r="H41" s="3">
        <v>695584.4375</v>
      </c>
      <c r="I41">
        <f t="shared" si="1"/>
        <v>4118.7254960820001</v>
      </c>
      <c r="J41">
        <f t="shared" si="4"/>
        <v>8577.5517284885191</v>
      </c>
      <c r="K41">
        <f t="shared" si="5"/>
        <v>13817.892893042032</v>
      </c>
      <c r="L41">
        <f t="shared" si="2"/>
        <v>2.0727494389563228E-2</v>
      </c>
      <c r="M41">
        <f t="shared" si="3"/>
        <v>2.5413113619018102E-2</v>
      </c>
    </row>
    <row r="42" spans="1:13" x14ac:dyDescent="0.45">
      <c r="A42" s="1" t="s">
        <v>41</v>
      </c>
      <c r="B42" s="1"/>
      <c r="C42" s="3">
        <v>0.17810000000000001</v>
      </c>
      <c r="D42" s="3">
        <v>0.54239999999999999</v>
      </c>
      <c r="E42" s="3">
        <v>0.85089999999999999</v>
      </c>
      <c r="F42" s="3">
        <v>338.61720000000003</v>
      </c>
      <c r="G42" s="3">
        <v>1617.8136999999999</v>
      </c>
      <c r="H42" s="3">
        <v>2735.2026000000001</v>
      </c>
      <c r="I42">
        <f t="shared" si="1"/>
        <v>1901.2756878158339</v>
      </c>
      <c r="J42">
        <f t="shared" si="4"/>
        <v>2982.6948746312682</v>
      </c>
      <c r="K42">
        <f t="shared" si="5"/>
        <v>3214.4818427547302</v>
      </c>
      <c r="L42">
        <f t="shared" si="2"/>
        <v>8.9404256036216267E-3</v>
      </c>
      <c r="M42">
        <f t="shared" si="3"/>
        <v>3.9466604666724692E-3</v>
      </c>
    </row>
    <row r="43" spans="1:13" x14ac:dyDescent="0.45">
      <c r="A43" s="1" t="s">
        <v>42</v>
      </c>
      <c r="B43" s="1"/>
      <c r="C43" s="3">
        <v>0.1966</v>
      </c>
      <c r="D43" s="3">
        <v>0.42820000000000003</v>
      </c>
      <c r="E43" s="3">
        <v>0.54990000000000006</v>
      </c>
      <c r="F43" s="3">
        <v>303.87520000000001</v>
      </c>
      <c r="G43" s="3">
        <v>1906.9795999999999</v>
      </c>
      <c r="H43" s="3">
        <v>4090.6016</v>
      </c>
      <c r="I43">
        <f t="shared" si="1"/>
        <v>1545.6520854526959</v>
      </c>
      <c r="J43">
        <f t="shared" si="4"/>
        <v>4453.4787482484817</v>
      </c>
      <c r="K43">
        <f t="shared" si="5"/>
        <v>7438.8099654482621</v>
      </c>
      <c r="L43">
        <f t="shared" si="2"/>
        <v>2.6989400653039786E-2</v>
      </c>
      <c r="M43">
        <f t="shared" si="3"/>
        <v>2.7369173663116531E-2</v>
      </c>
    </row>
    <row r="44" spans="1:13" x14ac:dyDescent="0.45">
      <c r="A44" s="1" t="s">
        <v>43</v>
      </c>
      <c r="B44" s="1"/>
      <c r="C44" s="3">
        <v>1.3285</v>
      </c>
      <c r="D44" s="3">
        <v>3.9624000000000001</v>
      </c>
      <c r="E44" s="3">
        <v>5.0476000000000001</v>
      </c>
      <c r="F44" s="3">
        <v>7103.9492</v>
      </c>
      <c r="G44" s="3">
        <v>45352.449200000003</v>
      </c>
      <c r="H44" s="3">
        <v>94038.679699999993</v>
      </c>
      <c r="I44">
        <f t="shared" si="1"/>
        <v>5347.3460293564167</v>
      </c>
      <c r="J44">
        <f t="shared" si="4"/>
        <v>11445.701897839694</v>
      </c>
      <c r="K44">
        <f t="shared" si="5"/>
        <v>18630.374772168951</v>
      </c>
      <c r="L44">
        <f t="shared" si="2"/>
        <v>2.1381183108232449E-2</v>
      </c>
      <c r="M44">
        <f t="shared" si="3"/>
        <v>2.5972559368250714E-2</v>
      </c>
    </row>
    <row r="45" spans="1:13" x14ac:dyDescent="0.45">
      <c r="A45" s="1" t="s">
        <v>44</v>
      </c>
      <c r="B45" s="1"/>
      <c r="C45" s="3"/>
      <c r="D45" s="3"/>
      <c r="E45" s="3">
        <v>0.16339999999999999</v>
      </c>
      <c r="F45" s="3"/>
      <c r="G45" s="3"/>
      <c r="H45" s="3">
        <v>3380.0884000000001</v>
      </c>
      <c r="I45" t="e">
        <f t="shared" si="1"/>
        <v>#DIV/0!</v>
      </c>
      <c r="J45" t="e">
        <f t="shared" si="4"/>
        <v>#DIV/0!</v>
      </c>
      <c r="K45">
        <f t="shared" si="5"/>
        <v>20685.97552019584</v>
      </c>
      <c r="L45" t="e">
        <f t="shared" si="2"/>
        <v>#DIV/0!</v>
      </c>
      <c r="M45" t="e">
        <f t="shared" si="3"/>
        <v>#DIV/0!</v>
      </c>
    </row>
    <row r="46" spans="1:13" x14ac:dyDescent="0.45">
      <c r="A46" s="1" t="s">
        <v>45</v>
      </c>
      <c r="B46" s="1"/>
      <c r="C46" s="3"/>
      <c r="D46" s="3">
        <v>4.2299999999999997E-2</v>
      </c>
      <c r="E46" s="3">
        <v>6.4899999999999999E-2</v>
      </c>
      <c r="F46" s="3"/>
      <c r="G46" s="3">
        <v>3366.1912000000002</v>
      </c>
      <c r="H46" s="3">
        <v>4589.5347000000002</v>
      </c>
      <c r="I46" t="e">
        <f t="shared" si="1"/>
        <v>#DIV/0!</v>
      </c>
      <c r="J46">
        <f t="shared" si="4"/>
        <v>79578.988179669046</v>
      </c>
      <c r="K46">
        <f t="shared" si="5"/>
        <v>70717.0215716487</v>
      </c>
      <c r="L46" t="e">
        <f t="shared" si="2"/>
        <v>#DIV/0!</v>
      </c>
      <c r="M46">
        <f t="shared" si="3"/>
        <v>-6.1946173706366459E-3</v>
      </c>
    </row>
    <row r="47" spans="1:13" x14ac:dyDescent="0.45">
      <c r="A47" s="1" t="s">
        <v>46</v>
      </c>
      <c r="B47" s="1"/>
      <c r="C47" s="3">
        <v>0.57210000000000005</v>
      </c>
      <c r="D47" s="3">
        <v>0.69359999999999999</v>
      </c>
      <c r="E47" s="3">
        <v>0.86850000000000005</v>
      </c>
      <c r="F47" s="3">
        <v>2274.1518999999998</v>
      </c>
      <c r="G47" s="3">
        <v>18782.4902</v>
      </c>
      <c r="H47" s="3">
        <v>28697.796900000001</v>
      </c>
      <c r="I47">
        <f t="shared" si="1"/>
        <v>3975.0950882712805</v>
      </c>
      <c r="J47">
        <f t="shared" si="4"/>
        <v>27079.714821222606</v>
      </c>
      <c r="K47">
        <f t="shared" si="5"/>
        <v>33042.944041450777</v>
      </c>
      <c r="L47">
        <f t="shared" si="2"/>
        <v>3.6546201874018136E-2</v>
      </c>
      <c r="M47">
        <f t="shared" si="3"/>
        <v>1.052995558208436E-2</v>
      </c>
    </row>
    <row r="48" spans="1:13" x14ac:dyDescent="0.45">
      <c r="A48" s="1" t="s">
        <v>47</v>
      </c>
      <c r="B48" s="1"/>
      <c r="C48" s="3"/>
      <c r="D48" s="3">
        <v>10.289400000000001</v>
      </c>
      <c r="E48" s="3">
        <v>10.6892</v>
      </c>
      <c r="F48" s="3"/>
      <c r="G48" s="3">
        <v>235755.9375</v>
      </c>
      <c r="H48" s="3">
        <v>399767.3125</v>
      </c>
      <c r="I48" t="e">
        <f t="shared" si="1"/>
        <v>#DIV/0!</v>
      </c>
      <c r="J48">
        <f t="shared" si="4"/>
        <v>22912.505831243801</v>
      </c>
      <c r="K48">
        <f t="shared" si="5"/>
        <v>37399.179779590617</v>
      </c>
      <c r="L48" t="e">
        <f t="shared" si="2"/>
        <v>#DIV/0!</v>
      </c>
      <c r="M48">
        <f t="shared" si="3"/>
        <v>2.612305811142468E-2</v>
      </c>
    </row>
    <row r="49" spans="1:13" x14ac:dyDescent="0.45">
      <c r="A49" s="1" t="s">
        <v>48</v>
      </c>
      <c r="B49" s="1"/>
      <c r="C49" s="3">
        <v>73.196299999999994</v>
      </c>
      <c r="D49" s="3">
        <v>81.400899999999993</v>
      </c>
      <c r="E49" s="3">
        <v>83.516999999999996</v>
      </c>
      <c r="F49" s="3">
        <v>1092642.25</v>
      </c>
      <c r="G49" s="3">
        <v>3410944.5</v>
      </c>
      <c r="H49" s="3">
        <v>4314067.5</v>
      </c>
      <c r="I49">
        <f t="shared" si="1"/>
        <v>14927.561229187815</v>
      </c>
      <c r="J49">
        <f t="shared" si="4"/>
        <v>41903.03178466086</v>
      </c>
      <c r="K49">
        <f t="shared" si="5"/>
        <v>51654.962462732139</v>
      </c>
      <c r="L49">
        <f t="shared" si="2"/>
        <v>2.12631959174443E-2</v>
      </c>
      <c r="M49">
        <f t="shared" si="3"/>
        <v>1.1072859911475108E-2</v>
      </c>
    </row>
    <row r="50" spans="1:13" x14ac:dyDescent="0.45">
      <c r="A50" s="1" t="s">
        <v>49</v>
      </c>
      <c r="B50" s="1"/>
      <c r="C50" s="3"/>
      <c r="D50" s="3">
        <v>0.71760000000000002</v>
      </c>
      <c r="E50" s="3">
        <v>0.97360000000000002</v>
      </c>
      <c r="F50" s="3"/>
      <c r="G50" s="3">
        <v>1176.4354000000001</v>
      </c>
      <c r="H50" s="3">
        <v>4778.2524000000003</v>
      </c>
      <c r="I50" t="e">
        <f t="shared" si="1"/>
        <v>#DIV/0!</v>
      </c>
      <c r="J50">
        <f t="shared" si="4"/>
        <v>1639.4027313266445</v>
      </c>
      <c r="K50">
        <f t="shared" si="5"/>
        <v>4907.8188167625312</v>
      </c>
      <c r="L50" t="e">
        <f t="shared" si="2"/>
        <v>#DIV/0!</v>
      </c>
      <c r="M50">
        <f t="shared" si="3"/>
        <v>5.9408147962694891E-2</v>
      </c>
    </row>
    <row r="51" spans="1:13" x14ac:dyDescent="0.45">
      <c r="A51" s="1" t="s">
        <v>50</v>
      </c>
      <c r="B51" s="1"/>
      <c r="C51" s="3"/>
      <c r="D51" s="3">
        <v>6.9699999999999998E-2</v>
      </c>
      <c r="E51" s="3">
        <v>7.1800000000000003E-2</v>
      </c>
      <c r="F51" s="3"/>
      <c r="G51" s="3">
        <v>599.06039999999996</v>
      </c>
      <c r="H51" s="3">
        <v>765.77200000000005</v>
      </c>
      <c r="I51" t="e">
        <f t="shared" si="1"/>
        <v>#DIV/0!</v>
      </c>
      <c r="J51">
        <f t="shared" si="4"/>
        <v>8594.8407460545186</v>
      </c>
      <c r="K51">
        <f t="shared" si="5"/>
        <v>10665.348189415043</v>
      </c>
      <c r="L51" t="e">
        <f t="shared" si="2"/>
        <v>#DIV/0!</v>
      </c>
      <c r="M51">
        <f t="shared" si="3"/>
        <v>1.142465746858834E-2</v>
      </c>
    </row>
    <row r="52" spans="1:13" x14ac:dyDescent="0.45">
      <c r="A52" s="1" t="s">
        <v>51</v>
      </c>
      <c r="B52" s="1"/>
      <c r="C52" s="3">
        <v>4.5833000000000004</v>
      </c>
      <c r="D52" s="3">
        <v>5.3411999999999997</v>
      </c>
      <c r="E52" s="3">
        <v>5.7718999999999996</v>
      </c>
      <c r="F52" s="3">
        <v>75799.789099999995</v>
      </c>
      <c r="G52" s="3">
        <v>242377.4375</v>
      </c>
      <c r="H52" s="3">
        <v>311263.65629999997</v>
      </c>
      <c r="I52">
        <f t="shared" si="1"/>
        <v>16538.256081862412</v>
      </c>
      <c r="J52">
        <f t="shared" si="4"/>
        <v>45378.835748520934</v>
      </c>
      <c r="K52">
        <f t="shared" si="5"/>
        <v>53927.416673885549</v>
      </c>
      <c r="L52">
        <f t="shared" si="2"/>
        <v>2.0235279734800216E-2</v>
      </c>
      <c r="M52">
        <f t="shared" si="3"/>
        <v>9.1252351469819359E-3</v>
      </c>
    </row>
    <row r="53" spans="1:13" x14ac:dyDescent="0.45">
      <c r="A53" s="1" t="s">
        <v>52</v>
      </c>
      <c r="B53" s="1"/>
      <c r="C53" s="3">
        <v>3.2877000000000001</v>
      </c>
      <c r="D53" s="3">
        <v>8.4712999999999994</v>
      </c>
      <c r="E53" s="3">
        <v>10.739000000000001</v>
      </c>
      <c r="F53" s="3">
        <v>9657.4531000000006</v>
      </c>
      <c r="G53" s="3">
        <v>76084.9375</v>
      </c>
      <c r="H53" s="3">
        <v>195627.875</v>
      </c>
      <c r="I53">
        <f t="shared" si="1"/>
        <v>2937.4496152325337</v>
      </c>
      <c r="J53">
        <f t="shared" si="4"/>
        <v>8981.4948709170967</v>
      </c>
      <c r="K53">
        <f t="shared" si="5"/>
        <v>18216.582083992922</v>
      </c>
      <c r="L53">
        <f t="shared" si="2"/>
        <v>3.1411913617864551E-2</v>
      </c>
      <c r="M53">
        <f t="shared" si="3"/>
        <v>3.7920570772675077E-2</v>
      </c>
    </row>
    <row r="54" spans="1:13" x14ac:dyDescent="0.45">
      <c r="A54" s="1" t="s">
        <v>53</v>
      </c>
      <c r="B54" s="1"/>
      <c r="C54" s="3">
        <v>11.3268</v>
      </c>
      <c r="D54" s="3">
        <v>31.042200000000001</v>
      </c>
      <c r="E54" s="3">
        <v>43.053100000000001</v>
      </c>
      <c r="F54" s="3">
        <v>73350.976599999995</v>
      </c>
      <c r="G54" s="3">
        <v>262814.65629999997</v>
      </c>
      <c r="H54" s="3">
        <v>481677.125</v>
      </c>
      <c r="I54">
        <f t="shared" si="1"/>
        <v>6475.87814740262</v>
      </c>
      <c r="J54">
        <f t="shared" si="4"/>
        <v>8466.3669553060008</v>
      </c>
      <c r="K54">
        <f t="shared" si="5"/>
        <v>11187.977753053787</v>
      </c>
      <c r="L54">
        <f t="shared" si="2"/>
        <v>9.3101155078625375E-3</v>
      </c>
      <c r="M54">
        <f t="shared" si="3"/>
        <v>1.4778575929089488E-2</v>
      </c>
    </row>
    <row r="55" spans="1:13" x14ac:dyDescent="0.45">
      <c r="A55" s="1" t="s">
        <v>54</v>
      </c>
      <c r="B55" s="1"/>
      <c r="C55" s="3">
        <v>4.5126999999999997</v>
      </c>
      <c r="D55" s="3">
        <v>12.681100000000001</v>
      </c>
      <c r="E55" s="3">
        <v>17.373699999999999</v>
      </c>
      <c r="F55" s="3">
        <v>21357.5723</v>
      </c>
      <c r="G55" s="3">
        <v>101857.21090000001</v>
      </c>
      <c r="H55" s="3">
        <v>194146.82810000001</v>
      </c>
      <c r="I55">
        <f t="shared" si="1"/>
        <v>4732.7702484100428</v>
      </c>
      <c r="J55">
        <f t="shared" si="4"/>
        <v>8032.2062675950829</v>
      </c>
      <c r="K55">
        <f t="shared" si="5"/>
        <v>11174.754260750446</v>
      </c>
      <c r="L55">
        <f t="shared" si="2"/>
        <v>1.4668343694687724E-2</v>
      </c>
      <c r="M55">
        <f t="shared" si="3"/>
        <v>1.7530727810695312E-2</v>
      </c>
    </row>
    <row r="56" spans="1:13" x14ac:dyDescent="0.45">
      <c r="A56" s="1" t="s">
        <v>55</v>
      </c>
      <c r="B56" s="1"/>
      <c r="C56" s="3">
        <v>27.598099999999999</v>
      </c>
      <c r="D56" s="3">
        <v>68.831599999999995</v>
      </c>
      <c r="E56" s="3">
        <v>100.38809999999999</v>
      </c>
      <c r="F56" s="3">
        <v>51796.25</v>
      </c>
      <c r="G56" s="3">
        <v>576829.6875</v>
      </c>
      <c r="H56" s="3">
        <v>1287589</v>
      </c>
      <c r="I56">
        <f t="shared" si="1"/>
        <v>1876.8049249767196</v>
      </c>
      <c r="J56">
        <f t="shared" si="4"/>
        <v>8380.3033417790666</v>
      </c>
      <c r="K56">
        <f t="shared" si="5"/>
        <v>12826.111859871839</v>
      </c>
      <c r="L56">
        <f t="shared" si="2"/>
        <v>3.3111150491538011E-2</v>
      </c>
      <c r="M56">
        <f t="shared" si="3"/>
        <v>2.2652708329851334E-2</v>
      </c>
    </row>
    <row r="57" spans="1:13" x14ac:dyDescent="0.45">
      <c r="A57" s="1" t="s">
        <v>56</v>
      </c>
      <c r="B57" s="1"/>
      <c r="C57" s="3">
        <v>30.6478</v>
      </c>
      <c r="D57" s="3">
        <v>40.824800000000003</v>
      </c>
      <c r="E57" s="3">
        <v>46.736800000000002</v>
      </c>
      <c r="F57" s="3">
        <v>263005.71879999997</v>
      </c>
      <c r="G57" s="3">
        <v>1390239.625</v>
      </c>
      <c r="H57" s="3">
        <v>1896315.375</v>
      </c>
      <c r="I57">
        <f t="shared" si="1"/>
        <v>8581.5529597556742</v>
      </c>
      <c r="J57">
        <f t="shared" si="4"/>
        <v>34053.801243361879</v>
      </c>
      <c r="K57">
        <f t="shared" si="5"/>
        <v>40574.35200955136</v>
      </c>
      <c r="L57">
        <f t="shared" si="2"/>
        <v>2.6680588667251204E-2</v>
      </c>
      <c r="M57">
        <f t="shared" si="3"/>
        <v>9.2634042754768942E-3</v>
      </c>
    </row>
    <row r="58" spans="1:13" x14ac:dyDescent="0.45">
      <c r="A58" s="1" t="s">
        <v>57</v>
      </c>
      <c r="B58" s="1"/>
      <c r="C58" s="3"/>
      <c r="D58" s="3">
        <v>1.3991</v>
      </c>
      <c r="E58" s="3">
        <v>1.3255999999999999</v>
      </c>
      <c r="F58" s="3"/>
      <c r="G58" s="3">
        <v>22755.8809</v>
      </c>
      <c r="H58" s="3">
        <v>44788.539100000002</v>
      </c>
      <c r="I58" t="e">
        <f t="shared" si="1"/>
        <v>#DIV/0!</v>
      </c>
      <c r="J58">
        <f t="shared" si="4"/>
        <v>16264.656493460081</v>
      </c>
      <c r="K58">
        <f t="shared" si="5"/>
        <v>33787.371077248041</v>
      </c>
      <c r="L58" t="e">
        <f t="shared" si="2"/>
        <v>#DIV/0!</v>
      </c>
      <c r="M58">
        <f t="shared" si="3"/>
        <v>3.9228447912760034E-2</v>
      </c>
    </row>
    <row r="59" spans="1:13" x14ac:dyDescent="0.45">
      <c r="A59" s="1" t="s">
        <v>58</v>
      </c>
      <c r="B59" s="1"/>
      <c r="C59" s="3">
        <v>23.3047</v>
      </c>
      <c r="D59" s="3">
        <v>66.224800000000002</v>
      </c>
      <c r="E59" s="3">
        <v>112.0787</v>
      </c>
      <c r="F59" s="3">
        <v>15564.5967</v>
      </c>
      <c r="G59" s="3">
        <v>48305.023399999998</v>
      </c>
      <c r="H59" s="3">
        <v>249437.2188</v>
      </c>
      <c r="I59">
        <f t="shared" si="1"/>
        <v>667.87372075160806</v>
      </c>
      <c r="J59">
        <f t="shared" si="4"/>
        <v>729.4098796825358</v>
      </c>
      <c r="K59">
        <f t="shared" si="5"/>
        <v>2225.5541757711321</v>
      </c>
      <c r="L59">
        <f t="shared" si="2"/>
        <v>2.0610576710066164E-2</v>
      </c>
      <c r="M59">
        <f t="shared" si="3"/>
        <v>6.046963679554751E-2</v>
      </c>
    </row>
    <row r="60" spans="1:13" x14ac:dyDescent="0.45">
      <c r="A60" s="1" t="s">
        <v>59</v>
      </c>
      <c r="B60" s="1"/>
      <c r="C60" s="3">
        <v>4.4353999999999996</v>
      </c>
      <c r="D60" s="3">
        <v>5.1879999999999997</v>
      </c>
      <c r="E60" s="3">
        <v>5.5321999999999996</v>
      </c>
      <c r="F60" s="3">
        <v>47812.882799999999</v>
      </c>
      <c r="G60" s="3">
        <v>190218.20310000001</v>
      </c>
      <c r="H60" s="3">
        <v>248022.42189999999</v>
      </c>
      <c r="I60">
        <f t="shared" si="1"/>
        <v>10779.835595436714</v>
      </c>
      <c r="J60">
        <f t="shared" si="4"/>
        <v>36665.035292983812</v>
      </c>
      <c r="K60">
        <f t="shared" si="5"/>
        <v>44832.511821698419</v>
      </c>
      <c r="L60">
        <f t="shared" si="2"/>
        <v>2.4451027273755033E-2</v>
      </c>
      <c r="M60">
        <f t="shared" si="3"/>
        <v>1.0640953467379255E-2</v>
      </c>
    </row>
    <row r="61" spans="1:13" x14ac:dyDescent="0.45">
      <c r="A61" s="1" t="s">
        <v>60</v>
      </c>
      <c r="B61" s="1"/>
      <c r="C61" s="3">
        <v>0.39300000000000002</v>
      </c>
      <c r="D61" s="3">
        <v>0.81100000000000005</v>
      </c>
      <c r="E61" s="3">
        <v>0.89</v>
      </c>
      <c r="F61" s="3">
        <v>1791.4793999999999</v>
      </c>
      <c r="G61" s="3">
        <v>7715.9336000000003</v>
      </c>
      <c r="H61" s="3">
        <v>12043.993200000001</v>
      </c>
      <c r="I61">
        <f t="shared" si="1"/>
        <v>4558.4717557251906</v>
      </c>
      <c r="J61">
        <f t="shared" si="4"/>
        <v>9514.098150431566</v>
      </c>
      <c r="K61">
        <f t="shared" si="5"/>
        <v>13532.576629213483</v>
      </c>
      <c r="L61">
        <f t="shared" si="2"/>
        <v>1.8613698424823744E-2</v>
      </c>
      <c r="M61">
        <f t="shared" si="3"/>
        <v>1.8716425878392062E-2</v>
      </c>
    </row>
    <row r="62" spans="1:13" x14ac:dyDescent="0.45">
      <c r="A62" s="1" t="s">
        <v>61</v>
      </c>
      <c r="B62" s="1"/>
      <c r="C62" s="3">
        <v>46.619300000000003</v>
      </c>
      <c r="D62" s="3">
        <v>60.874400000000001</v>
      </c>
      <c r="E62" s="3">
        <v>67.351200000000006</v>
      </c>
      <c r="F62" s="3">
        <v>592031.3125</v>
      </c>
      <c r="G62" s="3">
        <v>2328356.75</v>
      </c>
      <c r="H62" s="3">
        <v>2965338.5</v>
      </c>
      <c r="I62">
        <f t="shared" si="1"/>
        <v>12699.275032014637</v>
      </c>
      <c r="J62">
        <f t="shared" si="4"/>
        <v>38248.537151906217</v>
      </c>
      <c r="K62">
        <f t="shared" si="5"/>
        <v>44027.998016367928</v>
      </c>
      <c r="L62">
        <f t="shared" si="2"/>
        <v>2.1296150776928702E-2</v>
      </c>
      <c r="M62">
        <f t="shared" si="3"/>
        <v>7.433833445071425E-3</v>
      </c>
    </row>
    <row r="63" spans="1:13" x14ac:dyDescent="0.45">
      <c r="A63" s="1" t="s">
        <v>62</v>
      </c>
      <c r="B63" s="1"/>
      <c r="C63" s="3">
        <v>0.51080000000000003</v>
      </c>
      <c r="D63" s="3">
        <v>1.2283999999999999</v>
      </c>
      <c r="E63" s="3">
        <v>2.1726000000000001</v>
      </c>
      <c r="F63" s="3">
        <v>2941.0527000000002</v>
      </c>
      <c r="G63" s="3">
        <v>20637.404299999998</v>
      </c>
      <c r="H63" s="3">
        <v>32012.293000000001</v>
      </c>
      <c r="I63">
        <f t="shared" si="1"/>
        <v>5757.7382537196554</v>
      </c>
      <c r="J63">
        <f t="shared" si="4"/>
        <v>16800.231439270596</v>
      </c>
      <c r="K63">
        <f t="shared" si="5"/>
        <v>14734.554450888336</v>
      </c>
      <c r="L63">
        <f t="shared" si="2"/>
        <v>1.6053781312329596E-2</v>
      </c>
      <c r="M63">
        <f t="shared" si="3"/>
        <v>-6.881334657210636E-3</v>
      </c>
    </row>
    <row r="64" spans="1:13" x14ac:dyDescent="0.45">
      <c r="A64" s="1" t="s">
        <v>63</v>
      </c>
      <c r="B64" s="1"/>
      <c r="C64" s="3">
        <v>52.316899999999997</v>
      </c>
      <c r="D64" s="3">
        <v>58.923299999999998</v>
      </c>
      <c r="E64" s="3">
        <v>67.530199999999994</v>
      </c>
      <c r="F64" s="3">
        <v>782240.3125</v>
      </c>
      <c r="G64" s="3">
        <v>2195091.25</v>
      </c>
      <c r="H64" s="3">
        <v>3016695.25</v>
      </c>
      <c r="I64">
        <f t="shared" si="1"/>
        <v>14951.962224443727</v>
      </c>
      <c r="J64">
        <f t="shared" si="4"/>
        <v>37253.365816239078</v>
      </c>
      <c r="K64">
        <f t="shared" si="5"/>
        <v>44671.794989500995</v>
      </c>
      <c r="L64">
        <f t="shared" si="2"/>
        <v>1.8723979478376007E-2</v>
      </c>
      <c r="M64">
        <f t="shared" si="3"/>
        <v>9.6037183302841722E-3</v>
      </c>
    </row>
    <row r="65" spans="1:13" x14ac:dyDescent="0.45">
      <c r="A65" s="1" t="s">
        <v>64</v>
      </c>
      <c r="B65" s="1"/>
      <c r="C65" s="3"/>
      <c r="D65" s="3">
        <v>4.3621999999999996</v>
      </c>
      <c r="E65" s="3">
        <v>3.9967999999999999</v>
      </c>
      <c r="F65" s="3"/>
      <c r="G65" s="3">
        <v>22802.835899999998</v>
      </c>
      <c r="H65" s="3">
        <v>63508.824200000003</v>
      </c>
      <c r="I65" t="e">
        <f t="shared" si="1"/>
        <v>#DIV/0!</v>
      </c>
      <c r="J65">
        <f t="shared" si="4"/>
        <v>5227.3705698959238</v>
      </c>
      <c r="K65">
        <f t="shared" si="5"/>
        <v>15889.917984387512</v>
      </c>
      <c r="L65" t="e">
        <f t="shared" si="2"/>
        <v>#DIV/0!</v>
      </c>
      <c r="M65">
        <f t="shared" si="3"/>
        <v>6.0260411061416219E-2</v>
      </c>
    </row>
    <row r="66" spans="1:13" x14ac:dyDescent="0.45">
      <c r="A66" s="1" t="s">
        <v>65</v>
      </c>
      <c r="B66" s="1"/>
      <c r="C66" s="3">
        <v>6.9160000000000004</v>
      </c>
      <c r="D66" s="3">
        <v>19.2789</v>
      </c>
      <c r="E66" s="3">
        <v>30.417899999999999</v>
      </c>
      <c r="F66" s="3">
        <v>19751.916000000001</v>
      </c>
      <c r="G66" s="3">
        <v>54131.128900000003</v>
      </c>
      <c r="H66" s="3">
        <v>167411.9063</v>
      </c>
      <c r="I66">
        <f t="shared" si="1"/>
        <v>2855.973973395026</v>
      </c>
      <c r="J66">
        <f t="shared" si="4"/>
        <v>2807.7913625777405</v>
      </c>
      <c r="K66">
        <f t="shared" si="5"/>
        <v>5503.7299188964398</v>
      </c>
      <c r="L66">
        <f t="shared" si="2"/>
        <v>1.1180910399754884E-2</v>
      </c>
      <c r="M66">
        <f t="shared" si="3"/>
        <v>3.6057369500800407E-2</v>
      </c>
    </row>
    <row r="67" spans="1:13" x14ac:dyDescent="0.45">
      <c r="A67" s="1" t="s">
        <v>66</v>
      </c>
      <c r="B67" s="1"/>
      <c r="C67" s="3">
        <v>3.4506999999999999</v>
      </c>
      <c r="D67" s="3">
        <v>8.2407000000000004</v>
      </c>
      <c r="E67" s="3">
        <v>12.7712</v>
      </c>
      <c r="F67" s="3">
        <v>5406.5165999999999</v>
      </c>
      <c r="G67" s="3">
        <v>14290.7158</v>
      </c>
      <c r="H67" s="3">
        <v>32796.199200000003</v>
      </c>
      <c r="I67">
        <f t="shared" si="1"/>
        <v>1566.7883617816676</v>
      </c>
      <c r="J67">
        <f t="shared" si="4"/>
        <v>1734.1628502433045</v>
      </c>
      <c r="K67">
        <f t="shared" si="5"/>
        <v>2567.981019794538</v>
      </c>
      <c r="L67">
        <f t="shared" si="2"/>
        <v>8.4096061055924931E-3</v>
      </c>
      <c r="M67">
        <f t="shared" si="3"/>
        <v>2.0877861335803383E-2</v>
      </c>
    </row>
    <row r="68" spans="1:13" x14ac:dyDescent="0.45">
      <c r="A68" s="1" t="s">
        <v>67</v>
      </c>
      <c r="B68" s="1"/>
      <c r="C68" s="3">
        <v>0.33729999999999999</v>
      </c>
      <c r="D68" s="3">
        <v>1.3177000000000001</v>
      </c>
      <c r="E68" s="3">
        <v>2.3477000000000001</v>
      </c>
      <c r="F68" s="3">
        <v>884.64030000000002</v>
      </c>
      <c r="G68" s="3">
        <v>3120.9360000000001</v>
      </c>
      <c r="H68" s="3">
        <v>5542.0385999999999</v>
      </c>
      <c r="I68">
        <f t="shared" ref="I68:I131" si="6">F68/C68</f>
        <v>2622.7106433442041</v>
      </c>
      <c r="J68">
        <f t="shared" si="4"/>
        <v>2368.4723381649842</v>
      </c>
      <c r="K68">
        <f t="shared" si="5"/>
        <v>2360.6246965114792</v>
      </c>
      <c r="L68">
        <f t="shared" ref="L68:L131" si="7">(K68/I68)^(1/59)-1</f>
        <v>-1.782851095950666E-3</v>
      </c>
      <c r="M68">
        <f t="shared" ref="M68:M131" si="8">(K68/J68)^(1/19)-1</f>
        <v>-1.7466255206355363E-4</v>
      </c>
    </row>
    <row r="69" spans="1:13" x14ac:dyDescent="0.45">
      <c r="A69" s="1" t="s">
        <v>68</v>
      </c>
      <c r="B69" s="1"/>
      <c r="C69" s="3">
        <v>0.70109999999999995</v>
      </c>
      <c r="D69" s="3">
        <v>1.2013</v>
      </c>
      <c r="E69" s="3">
        <v>1.9209000000000001</v>
      </c>
      <c r="F69" s="3">
        <v>1387.7094</v>
      </c>
      <c r="G69" s="3">
        <v>2063.2145999999998</v>
      </c>
      <c r="H69" s="3">
        <v>3765.9650999999999</v>
      </c>
      <c r="I69">
        <f t="shared" si="6"/>
        <v>1979.3316217372701</v>
      </c>
      <c r="J69">
        <f t="shared" si="4"/>
        <v>1717.4848913676849</v>
      </c>
      <c r="K69">
        <f t="shared" si="5"/>
        <v>1960.5211619553334</v>
      </c>
      <c r="L69">
        <f t="shared" si="7"/>
        <v>-1.6183243058542907E-4</v>
      </c>
      <c r="M69">
        <f t="shared" si="8"/>
        <v>6.9900746149647031E-3</v>
      </c>
    </row>
    <row r="70" spans="1:13" x14ac:dyDescent="0.45">
      <c r="A70" s="1" t="s">
        <v>69</v>
      </c>
      <c r="B70" s="1"/>
      <c r="C70" s="3">
        <v>0.27410000000000001</v>
      </c>
      <c r="D70" s="3">
        <v>0.60619999999999996</v>
      </c>
      <c r="E70" s="3">
        <v>1.3560000000000001</v>
      </c>
      <c r="F70" s="3">
        <v>650.82640000000004</v>
      </c>
      <c r="G70" s="3">
        <v>9072.9434000000001</v>
      </c>
      <c r="H70" s="3">
        <v>28456.3164</v>
      </c>
      <c r="I70">
        <f t="shared" si="6"/>
        <v>2374.4122582998907</v>
      </c>
      <c r="J70">
        <f t="shared" si="4"/>
        <v>14966.914219729464</v>
      </c>
      <c r="K70">
        <f t="shared" si="5"/>
        <v>20985.484070796458</v>
      </c>
      <c r="L70">
        <f t="shared" si="7"/>
        <v>3.7624096167897081E-2</v>
      </c>
      <c r="M70">
        <f t="shared" si="8"/>
        <v>1.7948055105897032E-2</v>
      </c>
    </row>
    <row r="71" spans="1:13" x14ac:dyDescent="0.45">
      <c r="A71" s="1" t="s">
        <v>70</v>
      </c>
      <c r="B71" s="1"/>
      <c r="C71" s="3">
        <v>8.2050000000000001</v>
      </c>
      <c r="D71" s="3">
        <v>11.082100000000001</v>
      </c>
      <c r="E71" s="3">
        <v>10.4735</v>
      </c>
      <c r="F71" s="3">
        <v>59409.765599999999</v>
      </c>
      <c r="G71" s="3">
        <v>286495.75</v>
      </c>
      <c r="H71" s="3">
        <v>289493.21879999997</v>
      </c>
      <c r="I71">
        <f t="shared" si="6"/>
        <v>7240.6783180987204</v>
      </c>
      <c r="J71">
        <f t="shared" si="4"/>
        <v>25852.117378475199</v>
      </c>
      <c r="K71">
        <f t="shared" si="5"/>
        <v>27640.542206521219</v>
      </c>
      <c r="L71">
        <f t="shared" si="7"/>
        <v>2.2964264839418824E-2</v>
      </c>
      <c r="M71">
        <f t="shared" si="8"/>
        <v>3.5267891501442605E-3</v>
      </c>
    </row>
    <row r="72" spans="1:13" x14ac:dyDescent="0.45">
      <c r="A72" s="1" t="s">
        <v>71</v>
      </c>
      <c r="B72" s="1"/>
      <c r="C72" s="3"/>
      <c r="D72" s="3">
        <v>0.1028</v>
      </c>
      <c r="E72" s="3">
        <v>0.112</v>
      </c>
      <c r="F72" s="3"/>
      <c r="G72" s="3">
        <v>1043.4408000000001</v>
      </c>
      <c r="H72" s="3">
        <v>1668.7560000000001</v>
      </c>
      <c r="I72" t="e">
        <f t="shared" si="6"/>
        <v>#DIV/0!</v>
      </c>
      <c r="J72">
        <f t="shared" si="4"/>
        <v>10150.20233463035</v>
      </c>
      <c r="K72">
        <f t="shared" si="5"/>
        <v>14899.607142857143</v>
      </c>
      <c r="L72" t="e">
        <f t="shared" si="7"/>
        <v>#DIV/0!</v>
      </c>
      <c r="M72">
        <f t="shared" si="8"/>
        <v>2.0407613726479923E-2</v>
      </c>
    </row>
    <row r="73" spans="1:13" x14ac:dyDescent="0.45">
      <c r="A73" s="1" t="s">
        <v>72</v>
      </c>
      <c r="B73" s="1"/>
      <c r="C73" s="3">
        <v>4.3781999999999996</v>
      </c>
      <c r="D73" s="3">
        <v>11.650700000000001</v>
      </c>
      <c r="E73" s="3">
        <v>17.581499999999998</v>
      </c>
      <c r="F73" s="3">
        <v>14783.9092</v>
      </c>
      <c r="G73" s="3">
        <v>71490.304699999993</v>
      </c>
      <c r="H73" s="3">
        <v>136121.1875</v>
      </c>
      <c r="I73">
        <f t="shared" si="6"/>
        <v>3376.7094239641865</v>
      </c>
      <c r="J73">
        <f t="shared" si="4"/>
        <v>6136.1381462058062</v>
      </c>
      <c r="K73">
        <f t="shared" si="5"/>
        <v>7742.2965901657999</v>
      </c>
      <c r="L73">
        <f t="shared" si="7"/>
        <v>1.4163718593353192E-2</v>
      </c>
      <c r="M73">
        <f t="shared" si="8"/>
        <v>1.2312166852258555E-2</v>
      </c>
    </row>
    <row r="74" spans="1:13" x14ac:dyDescent="0.45">
      <c r="A74" s="1" t="s">
        <v>73</v>
      </c>
      <c r="B74" s="1"/>
      <c r="C74" s="3"/>
      <c r="D74" s="3">
        <v>0.74670000000000003</v>
      </c>
      <c r="E74" s="3">
        <v>0.78280000000000005</v>
      </c>
      <c r="F74" s="3"/>
      <c r="G74" s="3">
        <v>3569.6466999999998</v>
      </c>
      <c r="H74" s="3">
        <v>10396.043</v>
      </c>
      <c r="I74" t="e">
        <f t="shared" si="6"/>
        <v>#DIV/0!</v>
      </c>
      <c r="J74">
        <f t="shared" si="4"/>
        <v>4780.563412347663</v>
      </c>
      <c r="K74">
        <f t="shared" si="5"/>
        <v>13280.586356668369</v>
      </c>
      <c r="L74" t="e">
        <f t="shared" si="7"/>
        <v>#DIV/0!</v>
      </c>
      <c r="M74">
        <f t="shared" si="8"/>
        <v>5.5248249411615769E-2</v>
      </c>
    </row>
    <row r="75" spans="1:13" x14ac:dyDescent="0.45">
      <c r="A75" s="1" t="s">
        <v>74</v>
      </c>
      <c r="B75" s="1"/>
      <c r="C75" s="3">
        <v>2.9897999999999998</v>
      </c>
      <c r="D75" s="3">
        <v>6.6063000000000001</v>
      </c>
      <c r="E75" s="3">
        <v>7.4362000000000004</v>
      </c>
      <c r="F75" s="3">
        <v>13218.29</v>
      </c>
      <c r="G75" s="3">
        <v>199591.82810000001</v>
      </c>
      <c r="H75" s="3">
        <v>370482.5625</v>
      </c>
      <c r="I75">
        <f t="shared" si="6"/>
        <v>4421.1285035788351</v>
      </c>
      <c r="J75">
        <f t="shared" si="4"/>
        <v>30212.347017241122</v>
      </c>
      <c r="K75">
        <f t="shared" si="5"/>
        <v>49821.489806621656</v>
      </c>
      <c r="L75">
        <f t="shared" si="7"/>
        <v>4.1905990684317329E-2</v>
      </c>
      <c r="M75">
        <f t="shared" si="8"/>
        <v>2.6675683686410601E-2</v>
      </c>
    </row>
    <row r="76" spans="1:13" x14ac:dyDescent="0.45">
      <c r="A76" s="1" t="s">
        <v>75</v>
      </c>
      <c r="B76" s="1"/>
      <c r="C76" s="3">
        <v>1.9205000000000001</v>
      </c>
      <c r="D76" s="3">
        <v>6.5744999999999996</v>
      </c>
      <c r="E76" s="3">
        <v>9.7461000000000002</v>
      </c>
      <c r="F76" s="3">
        <v>5937.8179</v>
      </c>
      <c r="G76" s="3">
        <v>25968.849600000001</v>
      </c>
      <c r="H76" s="3">
        <v>53667.335899999998</v>
      </c>
      <c r="I76">
        <f t="shared" si="6"/>
        <v>3091.8083311637592</v>
      </c>
      <c r="J76">
        <f t="shared" si="4"/>
        <v>3949.9352954597312</v>
      </c>
      <c r="K76">
        <f t="shared" si="5"/>
        <v>5506.5447614943414</v>
      </c>
      <c r="L76">
        <f t="shared" si="7"/>
        <v>9.8307395696015654E-3</v>
      </c>
      <c r="M76">
        <f t="shared" si="8"/>
        <v>1.7639997022904863E-2</v>
      </c>
    </row>
    <row r="77" spans="1:13" x14ac:dyDescent="0.45">
      <c r="A77" s="1" t="s">
        <v>76</v>
      </c>
      <c r="B77" s="1"/>
      <c r="C77" s="3"/>
      <c r="D77" s="3">
        <v>4.4280999999999997</v>
      </c>
      <c r="E77" s="3">
        <v>4.1303000000000001</v>
      </c>
      <c r="F77" s="3"/>
      <c r="G77" s="3">
        <v>78293.992199999993</v>
      </c>
      <c r="H77" s="3">
        <v>112132.875</v>
      </c>
      <c r="I77" t="e">
        <f t="shared" si="6"/>
        <v>#DIV/0!</v>
      </c>
      <c r="J77">
        <f t="shared" si="4"/>
        <v>17681.170750434725</v>
      </c>
      <c r="K77">
        <f t="shared" si="5"/>
        <v>27148.845120209186</v>
      </c>
      <c r="L77" t="e">
        <f t="shared" si="7"/>
        <v>#DIV/0!</v>
      </c>
      <c r="M77">
        <f t="shared" si="8"/>
        <v>2.28268574802164E-2</v>
      </c>
    </row>
    <row r="78" spans="1:13" x14ac:dyDescent="0.45">
      <c r="A78" s="1" t="s">
        <v>77</v>
      </c>
      <c r="B78" s="1"/>
      <c r="C78" s="3">
        <v>3.8071000000000002</v>
      </c>
      <c r="D78" s="3">
        <v>8.4638000000000009</v>
      </c>
      <c r="E78" s="3">
        <v>11.2631</v>
      </c>
      <c r="F78" s="3">
        <v>9069.6494000000002</v>
      </c>
      <c r="G78" s="3">
        <v>14877.2734</v>
      </c>
      <c r="H78" s="3">
        <v>18259.517599999999</v>
      </c>
      <c r="I78">
        <f t="shared" si="6"/>
        <v>2382.2987050510887</v>
      </c>
      <c r="J78">
        <f t="shared" si="4"/>
        <v>1757.7534204494434</v>
      </c>
      <c r="K78">
        <f t="shared" si="5"/>
        <v>1621.1804565350569</v>
      </c>
      <c r="L78">
        <f t="shared" si="7"/>
        <v>-6.5026858281215238E-3</v>
      </c>
      <c r="M78">
        <f t="shared" si="8"/>
        <v>-4.2478976954970493E-3</v>
      </c>
    </row>
    <row r="79" spans="1:13" x14ac:dyDescent="0.45">
      <c r="A79" s="1" t="s">
        <v>78</v>
      </c>
      <c r="B79" s="1"/>
      <c r="C79" s="3"/>
      <c r="D79" s="3">
        <v>10.220499999999999</v>
      </c>
      <c r="E79" s="3">
        <v>9.6846999999999994</v>
      </c>
      <c r="F79" s="3"/>
      <c r="G79" s="3">
        <v>179893.67189999999</v>
      </c>
      <c r="H79" s="3">
        <v>288606.09379999997</v>
      </c>
      <c r="I79" t="e">
        <f t="shared" si="6"/>
        <v>#DIV/0!</v>
      </c>
      <c r="J79">
        <f t="shared" si="4"/>
        <v>17601.25941979355</v>
      </c>
      <c r="K79">
        <f t="shared" si="5"/>
        <v>29800.210001342322</v>
      </c>
      <c r="L79" t="e">
        <f t="shared" si="7"/>
        <v>#DIV/0!</v>
      </c>
      <c r="M79">
        <f t="shared" si="8"/>
        <v>2.8100468073500862E-2</v>
      </c>
    </row>
    <row r="80" spans="1:13" x14ac:dyDescent="0.45">
      <c r="A80" s="1" t="s">
        <v>79</v>
      </c>
      <c r="B80" s="1"/>
      <c r="C80" s="3">
        <v>94.472999999999999</v>
      </c>
      <c r="D80" s="3">
        <v>211.5138</v>
      </c>
      <c r="E80" s="3">
        <v>270.62560000000002</v>
      </c>
      <c r="F80" s="3">
        <v>147538.92189999999</v>
      </c>
      <c r="G80" s="3">
        <v>1170903.125</v>
      </c>
      <c r="H80" s="3">
        <v>3110469.5</v>
      </c>
      <c r="I80">
        <f t="shared" si="6"/>
        <v>1561.7046341282694</v>
      </c>
      <c r="J80">
        <f t="shared" si="4"/>
        <v>5535.8237854929557</v>
      </c>
      <c r="K80">
        <f t="shared" si="5"/>
        <v>11493.626249696998</v>
      </c>
      <c r="L80">
        <f t="shared" si="7"/>
        <v>3.4409526055094508E-2</v>
      </c>
      <c r="M80">
        <f t="shared" si="8"/>
        <v>3.9198890479609449E-2</v>
      </c>
    </row>
    <row r="81" spans="1:13" x14ac:dyDescent="0.45">
      <c r="A81" s="1" t="s">
        <v>80</v>
      </c>
      <c r="B81" s="1"/>
      <c r="C81" s="3">
        <v>446.43950000000001</v>
      </c>
      <c r="D81" s="3">
        <v>1056.5754999999999</v>
      </c>
      <c r="E81" s="3">
        <v>1366.4177999999999</v>
      </c>
      <c r="F81" s="3">
        <v>447577.28129999997</v>
      </c>
      <c r="G81" s="3">
        <v>2720586.5</v>
      </c>
      <c r="H81" s="3">
        <v>9163052</v>
      </c>
      <c r="I81">
        <f t="shared" si="6"/>
        <v>1002.5485677230621</v>
      </c>
      <c r="J81">
        <f t="shared" si="4"/>
        <v>2574.9096964675032</v>
      </c>
      <c r="K81">
        <f t="shared" si="5"/>
        <v>6705.8933219400396</v>
      </c>
      <c r="L81">
        <f t="shared" si="7"/>
        <v>3.2735256707036253E-2</v>
      </c>
      <c r="M81">
        <f t="shared" si="8"/>
        <v>5.1668013726374973E-2</v>
      </c>
    </row>
    <row r="82" spans="1:13" x14ac:dyDescent="0.45">
      <c r="A82" s="1" t="s">
        <v>81</v>
      </c>
      <c r="B82" s="1"/>
      <c r="C82" s="3">
        <v>2.7919999999999998</v>
      </c>
      <c r="D82" s="3">
        <v>3.7831000000000001</v>
      </c>
      <c r="E82" s="3">
        <v>4.8825000000000003</v>
      </c>
      <c r="F82" s="3">
        <v>29564.7363</v>
      </c>
      <c r="G82" s="3">
        <v>201920.70310000001</v>
      </c>
      <c r="H82" s="3">
        <v>472685.65629999997</v>
      </c>
      <c r="I82">
        <f t="shared" si="6"/>
        <v>10589.088932664758</v>
      </c>
      <c r="J82">
        <f t="shared" si="4"/>
        <v>53374.402764928236</v>
      </c>
      <c r="K82">
        <f t="shared" si="5"/>
        <v>96812.218392217095</v>
      </c>
      <c r="L82">
        <f t="shared" si="7"/>
        <v>3.8219899565889781E-2</v>
      </c>
      <c r="M82">
        <f t="shared" si="8"/>
        <v>3.1835287108074262E-2</v>
      </c>
    </row>
    <row r="83" spans="1:13" x14ac:dyDescent="0.45">
      <c r="A83" s="1" t="s">
        <v>82</v>
      </c>
      <c r="B83" s="1"/>
      <c r="C83" s="3">
        <v>21.293399999999998</v>
      </c>
      <c r="D83" s="3">
        <v>65.623400000000004</v>
      </c>
      <c r="E83" s="3">
        <v>82.913899999999998</v>
      </c>
      <c r="F83" s="3">
        <v>248714.875</v>
      </c>
      <c r="G83" s="3">
        <v>634750</v>
      </c>
      <c r="H83" s="3">
        <v>1001589.25</v>
      </c>
      <c r="I83">
        <f t="shared" si="6"/>
        <v>11680.373965641937</v>
      </c>
      <c r="J83">
        <f t="shared" ref="J83:J146" si="9">G83/D83</f>
        <v>9672.6167799900632</v>
      </c>
      <c r="K83">
        <f t="shared" ref="K83:K146" si="10">H83/E83</f>
        <v>12079.871408774645</v>
      </c>
      <c r="L83">
        <f t="shared" si="7"/>
        <v>5.701718588777549E-4</v>
      </c>
      <c r="M83">
        <f t="shared" si="8"/>
        <v>1.176560640967006E-2</v>
      </c>
    </row>
    <row r="84" spans="1:13" x14ac:dyDescent="0.45">
      <c r="A84" s="1" t="s">
        <v>83</v>
      </c>
      <c r="B84" s="1"/>
      <c r="C84" s="3"/>
      <c r="D84" s="3">
        <v>23.497599999999998</v>
      </c>
      <c r="E84" s="3">
        <v>39.309800000000003</v>
      </c>
      <c r="F84" s="3"/>
      <c r="G84" s="3">
        <v>223142.2188</v>
      </c>
      <c r="H84" s="3">
        <v>455805</v>
      </c>
      <c r="I84" t="e">
        <f t="shared" si="6"/>
        <v>#DIV/0!</v>
      </c>
      <c r="J84">
        <f t="shared" si="9"/>
        <v>9496.3834093694677</v>
      </c>
      <c r="K84">
        <f t="shared" si="10"/>
        <v>11595.200179090201</v>
      </c>
      <c r="L84" t="e">
        <f t="shared" si="7"/>
        <v>#DIV/0!</v>
      </c>
      <c r="M84">
        <f t="shared" si="8"/>
        <v>1.056490293987844E-2</v>
      </c>
    </row>
    <row r="85" spans="1:13" x14ac:dyDescent="0.45">
      <c r="A85" s="1" t="s">
        <v>84</v>
      </c>
      <c r="B85" s="1"/>
      <c r="C85" s="3">
        <v>0.17610000000000001</v>
      </c>
      <c r="D85" s="3">
        <v>0.28039999999999998</v>
      </c>
      <c r="E85" s="3">
        <v>0.33900000000000002</v>
      </c>
      <c r="F85" s="3">
        <v>2009.0472</v>
      </c>
      <c r="G85" s="3">
        <v>10017.6387</v>
      </c>
      <c r="H85" s="3">
        <v>17635.359400000001</v>
      </c>
      <c r="I85">
        <f t="shared" si="6"/>
        <v>11408.558773424191</v>
      </c>
      <c r="J85">
        <f t="shared" si="9"/>
        <v>35726.243580599148</v>
      </c>
      <c r="K85">
        <f t="shared" si="10"/>
        <v>52021.709144542772</v>
      </c>
      <c r="L85">
        <f t="shared" si="7"/>
        <v>2.6050435461316246E-2</v>
      </c>
      <c r="M85">
        <f t="shared" si="8"/>
        <v>1.9974535929653925E-2</v>
      </c>
    </row>
    <row r="86" spans="1:13" x14ac:dyDescent="0.45">
      <c r="A86" s="1" t="s">
        <v>85</v>
      </c>
      <c r="B86" s="1"/>
      <c r="C86" s="3">
        <v>2.0752999999999999</v>
      </c>
      <c r="D86" s="3">
        <v>5.9459999999999997</v>
      </c>
      <c r="E86" s="3">
        <v>8.5193999999999992</v>
      </c>
      <c r="F86" s="3">
        <v>19516.097699999998</v>
      </c>
      <c r="G86" s="3">
        <v>183827.60939999999</v>
      </c>
      <c r="H86" s="3">
        <v>344039.4375</v>
      </c>
      <c r="I86">
        <f t="shared" si="6"/>
        <v>9403.9886763359518</v>
      </c>
      <c r="J86">
        <f t="shared" si="9"/>
        <v>30916.180524722502</v>
      </c>
      <c r="K86">
        <f t="shared" si="10"/>
        <v>40383.059546446937</v>
      </c>
      <c r="L86">
        <f t="shared" si="7"/>
        <v>2.5007163028968993E-2</v>
      </c>
      <c r="M86">
        <f t="shared" si="8"/>
        <v>1.4158809757167656E-2</v>
      </c>
    </row>
    <row r="87" spans="1:13" x14ac:dyDescent="0.45">
      <c r="A87" s="1" t="s">
        <v>86</v>
      </c>
      <c r="B87" s="1"/>
      <c r="C87" s="3">
        <v>50.064599999999999</v>
      </c>
      <c r="D87" s="3">
        <v>56.6922</v>
      </c>
      <c r="E87" s="3">
        <v>60.5501</v>
      </c>
      <c r="F87" s="3">
        <v>586620.4375</v>
      </c>
      <c r="G87" s="3">
        <v>2372886.25</v>
      </c>
      <c r="H87" s="3">
        <v>2467813.5</v>
      </c>
      <c r="I87">
        <f t="shared" si="6"/>
        <v>11717.270037112052</v>
      </c>
      <c r="J87">
        <f t="shared" si="9"/>
        <v>41855.6035927341</v>
      </c>
      <c r="K87">
        <f t="shared" si="10"/>
        <v>40756.55531535043</v>
      </c>
      <c r="L87">
        <f t="shared" si="7"/>
        <v>2.1352791458488785E-2</v>
      </c>
      <c r="M87">
        <f t="shared" si="8"/>
        <v>-1.3994930406103778E-3</v>
      </c>
    </row>
    <row r="88" spans="1:13" x14ac:dyDescent="0.45">
      <c r="A88" s="1" t="s">
        <v>87</v>
      </c>
      <c r="B88" s="1"/>
      <c r="C88" s="3">
        <v>1.5746</v>
      </c>
      <c r="D88" s="3">
        <v>2.6547000000000001</v>
      </c>
      <c r="E88" s="3">
        <v>2.9483000000000001</v>
      </c>
      <c r="F88" s="3">
        <v>10154.5195</v>
      </c>
      <c r="G88" s="3">
        <v>21494.589800000002</v>
      </c>
      <c r="H88" s="3">
        <v>24640.002</v>
      </c>
      <c r="I88">
        <f t="shared" si="6"/>
        <v>6448.9517972818494</v>
      </c>
      <c r="J88">
        <f t="shared" si="9"/>
        <v>8096.8055900855088</v>
      </c>
      <c r="K88">
        <f t="shared" si="10"/>
        <v>8357.3591561238682</v>
      </c>
      <c r="L88">
        <f t="shared" si="7"/>
        <v>4.4033082513326161E-3</v>
      </c>
      <c r="M88">
        <f t="shared" si="8"/>
        <v>1.6683835994379947E-3</v>
      </c>
    </row>
    <row r="89" spans="1:13" x14ac:dyDescent="0.45">
      <c r="A89" s="1" t="s">
        <v>88</v>
      </c>
      <c r="B89" s="1"/>
      <c r="C89" s="3">
        <v>0.9718</v>
      </c>
      <c r="D89" s="3">
        <v>5.1224999999999996</v>
      </c>
      <c r="E89" s="3">
        <v>10.101699999999999</v>
      </c>
      <c r="F89" s="3">
        <v>7354.4486999999999</v>
      </c>
      <c r="G89" s="3">
        <v>47367.210899999998</v>
      </c>
      <c r="H89" s="3">
        <v>107604.02340000001</v>
      </c>
      <c r="I89">
        <f t="shared" si="6"/>
        <v>7567.86242025108</v>
      </c>
      <c r="J89">
        <f t="shared" si="9"/>
        <v>9246.8932942898973</v>
      </c>
      <c r="K89">
        <f t="shared" si="10"/>
        <v>10652.070780165715</v>
      </c>
      <c r="L89">
        <f t="shared" si="7"/>
        <v>5.8107777958957829E-3</v>
      </c>
      <c r="M89">
        <f t="shared" si="8"/>
        <v>7.4734021250695282E-3</v>
      </c>
    </row>
    <row r="90" spans="1:13" x14ac:dyDescent="0.45">
      <c r="A90" s="1" t="s">
        <v>89</v>
      </c>
      <c r="B90" s="1"/>
      <c r="C90" s="3">
        <v>94.618499999999997</v>
      </c>
      <c r="D90" s="3">
        <v>127.52419999999999</v>
      </c>
      <c r="E90" s="3">
        <v>126.8603</v>
      </c>
      <c r="F90" s="3">
        <v>609689.9375</v>
      </c>
      <c r="G90" s="3">
        <v>4390924</v>
      </c>
      <c r="H90" s="3">
        <v>5099254</v>
      </c>
      <c r="I90">
        <f t="shared" si="6"/>
        <v>6443.6652187468626</v>
      </c>
      <c r="J90">
        <f t="shared" si="9"/>
        <v>34432.084263222197</v>
      </c>
      <c r="K90">
        <f t="shared" si="10"/>
        <v>40195.821703085996</v>
      </c>
      <c r="L90">
        <f t="shared" si="7"/>
        <v>3.1514622624930988E-2</v>
      </c>
      <c r="M90">
        <f t="shared" si="8"/>
        <v>8.1792817058166101E-3</v>
      </c>
    </row>
    <row r="91" spans="1:13" x14ac:dyDescent="0.45">
      <c r="A91" s="1" t="s">
        <v>90</v>
      </c>
      <c r="B91" s="1"/>
      <c r="C91" s="3"/>
      <c r="D91" s="3">
        <v>14.922700000000001</v>
      </c>
      <c r="E91" s="3">
        <v>18.551400000000001</v>
      </c>
      <c r="F91" s="3"/>
      <c r="G91" s="3">
        <v>160759.64060000001</v>
      </c>
      <c r="H91" s="3">
        <v>512810.75</v>
      </c>
      <c r="I91" t="e">
        <f t="shared" si="6"/>
        <v>#DIV/0!</v>
      </c>
      <c r="J91">
        <f t="shared" si="9"/>
        <v>10772.825333217179</v>
      </c>
      <c r="K91">
        <f t="shared" si="10"/>
        <v>27642.698125208877</v>
      </c>
      <c r="L91" t="e">
        <f t="shared" si="7"/>
        <v>#DIV/0!</v>
      </c>
      <c r="M91">
        <f t="shared" si="8"/>
        <v>5.0847067086734921E-2</v>
      </c>
    </row>
    <row r="92" spans="1:13" x14ac:dyDescent="0.45">
      <c r="A92" s="1" t="s">
        <v>91</v>
      </c>
      <c r="B92" s="1"/>
      <c r="C92" s="3">
        <v>8.1960999999999995</v>
      </c>
      <c r="D92" s="3">
        <v>31.964600000000001</v>
      </c>
      <c r="E92" s="3">
        <v>52.573999999999998</v>
      </c>
      <c r="F92" s="3">
        <v>21083.460899999998</v>
      </c>
      <c r="G92" s="3">
        <v>91158.078099999999</v>
      </c>
      <c r="H92" s="3">
        <v>227564.0625</v>
      </c>
      <c r="I92">
        <f t="shared" si="6"/>
        <v>2572.3772159929722</v>
      </c>
      <c r="J92">
        <f t="shared" si="9"/>
        <v>2851.8447939282833</v>
      </c>
      <c r="K92">
        <f t="shared" si="10"/>
        <v>4328.4525145509187</v>
      </c>
      <c r="L92">
        <f t="shared" si="7"/>
        <v>8.859004532981718E-3</v>
      </c>
      <c r="M92">
        <f t="shared" si="8"/>
        <v>2.2203111286600574E-2</v>
      </c>
    </row>
    <row r="93" spans="1:13" x14ac:dyDescent="0.45">
      <c r="A93" s="1" t="s">
        <v>92</v>
      </c>
      <c r="B93" s="1"/>
      <c r="C93" s="3"/>
      <c r="D93" s="3">
        <v>4.9207000000000001</v>
      </c>
      <c r="E93" s="3">
        <v>6.4158999999999997</v>
      </c>
      <c r="F93" s="3"/>
      <c r="G93" s="3">
        <v>18012.3262</v>
      </c>
      <c r="H93" s="3">
        <v>40511.765599999999</v>
      </c>
      <c r="I93" t="e">
        <f t="shared" si="6"/>
        <v>#DIV/0!</v>
      </c>
      <c r="J93">
        <f t="shared" si="9"/>
        <v>3660.5211047208727</v>
      </c>
      <c r="K93">
        <f t="shared" si="10"/>
        <v>6314.2763447061207</v>
      </c>
      <c r="L93" t="e">
        <f t="shared" si="7"/>
        <v>#DIV/0!</v>
      </c>
      <c r="M93">
        <f t="shared" si="8"/>
        <v>2.9110810871520343E-2</v>
      </c>
    </row>
    <row r="94" spans="1:13" x14ac:dyDescent="0.45">
      <c r="A94" s="1" t="s">
        <v>93</v>
      </c>
      <c r="B94" s="1"/>
      <c r="C94" s="3"/>
      <c r="D94" s="3">
        <v>12.155200000000001</v>
      </c>
      <c r="E94" s="3">
        <v>16.486499999999999</v>
      </c>
      <c r="F94" s="3"/>
      <c r="G94" s="3">
        <v>18108.285199999998</v>
      </c>
      <c r="H94" s="3">
        <v>72751.4375</v>
      </c>
      <c r="I94" t="e">
        <f t="shared" si="6"/>
        <v>#DIV/0!</v>
      </c>
      <c r="J94">
        <f t="shared" si="9"/>
        <v>1489.7562524680793</v>
      </c>
      <c r="K94">
        <f t="shared" si="10"/>
        <v>4412.788493615989</v>
      </c>
      <c r="L94" t="e">
        <f t="shared" si="7"/>
        <v>#DIV/0!</v>
      </c>
      <c r="M94">
        <f t="shared" si="8"/>
        <v>5.8817088469898415E-2</v>
      </c>
    </row>
    <row r="95" spans="1:13" x14ac:dyDescent="0.45">
      <c r="A95" s="1" t="s">
        <v>94</v>
      </c>
      <c r="B95" s="1"/>
      <c r="C95" s="3"/>
      <c r="D95" s="3">
        <v>4.41E-2</v>
      </c>
      <c r="E95" s="3">
        <v>5.28E-2</v>
      </c>
      <c r="F95" s="3"/>
      <c r="G95" s="3">
        <v>796.51859999999999</v>
      </c>
      <c r="H95" s="3">
        <v>1172.8800000000001</v>
      </c>
      <c r="I95" t="e">
        <f t="shared" si="6"/>
        <v>#DIV/0!</v>
      </c>
      <c r="J95">
        <f t="shared" si="9"/>
        <v>18061.646258503402</v>
      </c>
      <c r="K95">
        <f t="shared" si="10"/>
        <v>22213.636363636368</v>
      </c>
      <c r="L95" t="e">
        <f t="shared" si="7"/>
        <v>#DIV/0!</v>
      </c>
      <c r="M95">
        <f t="shared" si="8"/>
        <v>1.0949812619644117E-2</v>
      </c>
    </row>
    <row r="96" spans="1:13" x14ac:dyDescent="0.45">
      <c r="A96" s="1" t="s">
        <v>95</v>
      </c>
      <c r="B96" s="1"/>
      <c r="C96" s="3">
        <v>24.749300000000002</v>
      </c>
      <c r="D96" s="3">
        <v>47.379199999999997</v>
      </c>
      <c r="E96" s="3">
        <v>51.225299999999997</v>
      </c>
      <c r="F96" s="3">
        <v>40605.222699999998</v>
      </c>
      <c r="G96" s="3">
        <v>1071742</v>
      </c>
      <c r="H96" s="3">
        <v>2193132.25</v>
      </c>
      <c r="I96">
        <f t="shared" si="6"/>
        <v>1640.6614611322339</v>
      </c>
      <c r="J96">
        <f t="shared" si="9"/>
        <v>22620.517020126976</v>
      </c>
      <c r="K96">
        <f t="shared" si="10"/>
        <v>42813.458388725885</v>
      </c>
      <c r="L96">
        <f t="shared" si="7"/>
        <v>5.6840661281907456E-2</v>
      </c>
      <c r="M96">
        <f t="shared" si="8"/>
        <v>3.4148821194691648E-2</v>
      </c>
    </row>
    <row r="97" spans="1:13" x14ac:dyDescent="0.45">
      <c r="A97" s="1" t="s">
        <v>96</v>
      </c>
      <c r="B97" s="1"/>
      <c r="C97" s="3"/>
      <c r="D97" s="3">
        <v>2.0451000000000001</v>
      </c>
      <c r="E97" s="3">
        <v>4.2070999999999996</v>
      </c>
      <c r="F97" s="3"/>
      <c r="G97" s="3">
        <v>124421.57030000001</v>
      </c>
      <c r="H97" s="3">
        <v>232072.4375</v>
      </c>
      <c r="I97" t="e">
        <f t="shared" si="6"/>
        <v>#DIV/0!</v>
      </c>
      <c r="J97">
        <f t="shared" si="9"/>
        <v>60838.868661679131</v>
      </c>
      <c r="K97">
        <f t="shared" si="10"/>
        <v>55162.09205866274</v>
      </c>
      <c r="L97" t="e">
        <f t="shared" si="7"/>
        <v>#DIV/0!</v>
      </c>
      <c r="M97">
        <f t="shared" si="8"/>
        <v>-5.1421490542374881E-3</v>
      </c>
    </row>
    <row r="98" spans="1:13" x14ac:dyDescent="0.45">
      <c r="A98" s="1" t="s">
        <v>97</v>
      </c>
      <c r="B98" s="1"/>
      <c r="C98" s="3"/>
      <c r="D98" s="3">
        <v>5.3236999999999997</v>
      </c>
      <c r="E98" s="3">
        <v>7.1695000000000002</v>
      </c>
      <c r="F98" s="3"/>
      <c r="G98" s="3">
        <v>15088.300800000001</v>
      </c>
      <c r="H98" s="3">
        <v>56177.800799999997</v>
      </c>
      <c r="I98" t="e">
        <f t="shared" si="6"/>
        <v>#DIV/0!</v>
      </c>
      <c r="J98">
        <f t="shared" si="9"/>
        <v>2834.1756297312022</v>
      </c>
      <c r="K98">
        <f t="shared" si="10"/>
        <v>7835.6650812469479</v>
      </c>
      <c r="L98" t="e">
        <f t="shared" si="7"/>
        <v>#DIV/0!</v>
      </c>
      <c r="M98">
        <f t="shared" si="8"/>
        <v>5.4981125373200879E-2</v>
      </c>
    </row>
    <row r="99" spans="1:13" x14ac:dyDescent="0.45">
      <c r="A99" s="1" t="s">
        <v>98</v>
      </c>
      <c r="B99" s="1"/>
      <c r="C99" s="3"/>
      <c r="D99" s="3">
        <v>3.8428</v>
      </c>
      <c r="E99" s="3">
        <v>6.8556999999999997</v>
      </c>
      <c r="F99" s="3"/>
      <c r="G99" s="3">
        <v>55218.171900000001</v>
      </c>
      <c r="H99" s="3">
        <v>100609.16409999999</v>
      </c>
      <c r="I99" t="e">
        <f t="shared" si="6"/>
        <v>#DIV/0!</v>
      </c>
      <c r="J99">
        <f t="shared" si="9"/>
        <v>14369.254684084523</v>
      </c>
      <c r="K99">
        <f t="shared" si="10"/>
        <v>14675.257683387546</v>
      </c>
      <c r="L99" t="e">
        <f t="shared" si="7"/>
        <v>#DIV/0!</v>
      </c>
      <c r="M99">
        <f t="shared" si="8"/>
        <v>1.1096727192136946E-3</v>
      </c>
    </row>
    <row r="100" spans="1:13" x14ac:dyDescent="0.45">
      <c r="A100" s="1" t="s">
        <v>99</v>
      </c>
      <c r="B100" s="1"/>
      <c r="C100" s="3"/>
      <c r="D100" s="3">
        <v>2.8485</v>
      </c>
      <c r="E100" s="3">
        <v>4.9374000000000002</v>
      </c>
      <c r="F100" s="3"/>
      <c r="G100" s="3">
        <v>2787.8879000000002</v>
      </c>
      <c r="H100" s="3">
        <v>6406.8441999999995</v>
      </c>
      <c r="I100" t="e">
        <f t="shared" si="6"/>
        <v>#DIV/0!</v>
      </c>
      <c r="J100">
        <f t="shared" si="9"/>
        <v>978.72139722661052</v>
      </c>
      <c r="K100">
        <f t="shared" si="10"/>
        <v>1297.6149795438894</v>
      </c>
      <c r="L100" t="e">
        <f t="shared" si="7"/>
        <v>#DIV/0!</v>
      </c>
      <c r="M100">
        <f t="shared" si="8"/>
        <v>1.4954730238766478E-2</v>
      </c>
    </row>
    <row r="101" spans="1:13" x14ac:dyDescent="0.45">
      <c r="A101" s="1" t="s">
        <v>100</v>
      </c>
      <c r="B101" s="1"/>
      <c r="C101" s="3"/>
      <c r="D101" s="3">
        <v>0.15670000000000001</v>
      </c>
      <c r="E101" s="3">
        <v>0.18279999999999999</v>
      </c>
      <c r="F101" s="3"/>
      <c r="G101" s="3">
        <v>1584.875</v>
      </c>
      <c r="H101" s="3">
        <v>2255.1143000000002</v>
      </c>
      <c r="I101" t="e">
        <f t="shared" si="6"/>
        <v>#DIV/0!</v>
      </c>
      <c r="J101">
        <f t="shared" si="9"/>
        <v>10114.071474154434</v>
      </c>
      <c r="K101">
        <f t="shared" si="10"/>
        <v>12336.51148796499</v>
      </c>
      <c r="L101" t="e">
        <f t="shared" si="7"/>
        <v>#DIV/0!</v>
      </c>
      <c r="M101">
        <f t="shared" si="8"/>
        <v>1.0509345048193452E-2</v>
      </c>
    </row>
    <row r="102" spans="1:13" x14ac:dyDescent="0.45">
      <c r="A102" s="1" t="s">
        <v>101</v>
      </c>
      <c r="B102" s="1"/>
      <c r="C102" s="3">
        <v>9.8089999999999993</v>
      </c>
      <c r="D102" s="3">
        <v>18.7776</v>
      </c>
      <c r="E102" s="3">
        <v>21.323699999999999</v>
      </c>
      <c r="F102" s="3">
        <v>15446.7158</v>
      </c>
      <c r="G102" s="3">
        <v>111125.2031</v>
      </c>
      <c r="H102" s="3">
        <v>284266.6875</v>
      </c>
      <c r="I102">
        <f t="shared" si="6"/>
        <v>1574.7492914670202</v>
      </c>
      <c r="J102">
        <f t="shared" si="9"/>
        <v>5917.9662523432171</v>
      </c>
      <c r="K102">
        <f t="shared" si="10"/>
        <v>13331.020765626979</v>
      </c>
      <c r="L102">
        <f t="shared" si="7"/>
        <v>3.6866671509821813E-2</v>
      </c>
      <c r="M102">
        <f t="shared" si="8"/>
        <v>4.3668750517354527E-2</v>
      </c>
    </row>
    <row r="103" spans="1:13" x14ac:dyDescent="0.45">
      <c r="A103" s="1" t="s">
        <v>102</v>
      </c>
      <c r="B103" s="1"/>
      <c r="C103" s="3">
        <v>0.82779999999999998</v>
      </c>
      <c r="D103" s="3">
        <v>2.0327999999999999</v>
      </c>
      <c r="E103" s="3">
        <v>2.1253000000000002</v>
      </c>
      <c r="F103" s="3">
        <v>468.36950000000002</v>
      </c>
      <c r="G103" s="3">
        <v>3259.3764999999999</v>
      </c>
      <c r="H103" s="3">
        <v>6411.6527999999998</v>
      </c>
      <c r="I103">
        <f t="shared" si="6"/>
        <v>565.80031408552793</v>
      </c>
      <c r="J103">
        <f t="shared" si="9"/>
        <v>1603.3926111767021</v>
      </c>
      <c r="K103">
        <f t="shared" si="10"/>
        <v>3016.8224721215825</v>
      </c>
      <c r="L103">
        <f t="shared" si="7"/>
        <v>2.8774311452425261E-2</v>
      </c>
      <c r="M103">
        <f t="shared" si="8"/>
        <v>3.3827042805152585E-2</v>
      </c>
    </row>
    <row r="104" spans="1:13" x14ac:dyDescent="0.45">
      <c r="A104" s="1" t="s">
        <v>103</v>
      </c>
      <c r="B104" s="1"/>
      <c r="C104" s="3"/>
      <c r="D104" s="3">
        <v>3.5017999999999998</v>
      </c>
      <c r="E104" s="3">
        <v>2.7595999999999998</v>
      </c>
      <c r="F104" s="3"/>
      <c r="G104" s="3">
        <v>43075.25</v>
      </c>
      <c r="H104" s="3">
        <v>92056.617199999993</v>
      </c>
      <c r="I104" t="e">
        <f t="shared" si="6"/>
        <v>#DIV/0!</v>
      </c>
      <c r="J104">
        <f t="shared" si="9"/>
        <v>12300.888114683878</v>
      </c>
      <c r="K104">
        <f t="shared" si="10"/>
        <v>33358.681403101895</v>
      </c>
      <c r="L104" t="e">
        <f t="shared" si="7"/>
        <v>#DIV/0!</v>
      </c>
      <c r="M104">
        <f t="shared" si="8"/>
        <v>5.391069303505569E-2</v>
      </c>
    </row>
    <row r="105" spans="1:13" x14ac:dyDescent="0.45">
      <c r="A105" s="1" t="s">
        <v>104</v>
      </c>
      <c r="B105" s="1"/>
      <c r="C105" s="3">
        <v>0.31440000000000001</v>
      </c>
      <c r="D105" s="3">
        <v>0.43609999999999999</v>
      </c>
      <c r="E105" s="3">
        <v>0.61570000000000003</v>
      </c>
      <c r="F105" s="3">
        <v>6940.1377000000002</v>
      </c>
      <c r="G105" s="3">
        <v>33502.566400000003</v>
      </c>
      <c r="H105" s="3">
        <v>56563.882799999999</v>
      </c>
      <c r="I105">
        <f t="shared" si="6"/>
        <v>22074.229325699744</v>
      </c>
      <c r="J105">
        <f t="shared" si="9"/>
        <v>76823.128640220137</v>
      </c>
      <c r="K105">
        <f t="shared" si="10"/>
        <v>91869.226571382169</v>
      </c>
      <c r="L105">
        <f t="shared" si="7"/>
        <v>2.4463164645930124E-2</v>
      </c>
      <c r="M105">
        <f t="shared" si="8"/>
        <v>9.4581517733871578E-3</v>
      </c>
    </row>
    <row r="106" spans="1:13" x14ac:dyDescent="0.45">
      <c r="A106" s="1" t="s">
        <v>105</v>
      </c>
      <c r="B106" s="1"/>
      <c r="C106" s="3"/>
      <c r="D106" s="3">
        <v>2.3841999999999999</v>
      </c>
      <c r="E106" s="3">
        <v>1.9067000000000001</v>
      </c>
      <c r="F106" s="3"/>
      <c r="G106" s="3">
        <v>29004.75</v>
      </c>
      <c r="H106" s="3">
        <v>56261.554700000001</v>
      </c>
      <c r="I106" t="e">
        <f t="shared" si="6"/>
        <v>#DIV/0!</v>
      </c>
      <c r="J106">
        <f t="shared" si="9"/>
        <v>12165.401392500629</v>
      </c>
      <c r="K106">
        <f t="shared" si="10"/>
        <v>29507.292547333087</v>
      </c>
      <c r="L106" t="e">
        <f t="shared" si="7"/>
        <v>#DIV/0!</v>
      </c>
      <c r="M106">
        <f t="shared" si="8"/>
        <v>4.773821661628519E-2</v>
      </c>
    </row>
    <row r="107" spans="1:13" x14ac:dyDescent="0.45">
      <c r="A107" s="1" t="s">
        <v>106</v>
      </c>
      <c r="B107" s="1"/>
      <c r="C107" s="3"/>
      <c r="D107" s="3">
        <v>0.42780000000000001</v>
      </c>
      <c r="E107" s="3">
        <v>0.64039999999999997</v>
      </c>
      <c r="F107" s="3"/>
      <c r="G107" s="3">
        <v>16070.2197</v>
      </c>
      <c r="H107" s="3">
        <v>58838.316400000003</v>
      </c>
      <c r="I107" t="e">
        <f t="shared" si="6"/>
        <v>#DIV/0!</v>
      </c>
      <c r="J107">
        <f t="shared" si="9"/>
        <v>37564.795932678819</v>
      </c>
      <c r="K107">
        <f t="shared" si="10"/>
        <v>91877.445971267967</v>
      </c>
      <c r="L107" t="e">
        <f t="shared" si="7"/>
        <v>#DIV/0!</v>
      </c>
      <c r="M107">
        <f t="shared" si="8"/>
        <v>4.8198593550194735E-2</v>
      </c>
    </row>
    <row r="108" spans="1:13" x14ac:dyDescent="0.45">
      <c r="A108" s="1" t="s">
        <v>107</v>
      </c>
      <c r="B108" s="1"/>
      <c r="C108" s="3">
        <v>12.497999999999999</v>
      </c>
      <c r="D108" s="3">
        <v>28.793700000000001</v>
      </c>
      <c r="E108" s="3">
        <v>36.471800000000002</v>
      </c>
      <c r="F108" s="3">
        <v>18344.531299999999</v>
      </c>
      <c r="G108" s="3">
        <v>117341.53909999999</v>
      </c>
      <c r="H108" s="3">
        <v>290480.21879999997</v>
      </c>
      <c r="I108">
        <f t="shared" si="6"/>
        <v>1467.7973515762521</v>
      </c>
      <c r="J108">
        <f t="shared" si="9"/>
        <v>4075.2504575653697</v>
      </c>
      <c r="K108">
        <f t="shared" si="10"/>
        <v>7964.5155654505661</v>
      </c>
      <c r="L108">
        <f t="shared" si="7"/>
        <v>2.9079764370607775E-2</v>
      </c>
      <c r="M108">
        <f t="shared" si="8"/>
        <v>3.5895760820434219E-2</v>
      </c>
    </row>
    <row r="109" spans="1:13" x14ac:dyDescent="0.45">
      <c r="A109" s="1" t="s">
        <v>108</v>
      </c>
      <c r="B109" s="1"/>
      <c r="C109" s="3"/>
      <c r="D109" s="3">
        <v>4.2027000000000001</v>
      </c>
      <c r="E109" s="3">
        <v>4.0433000000000003</v>
      </c>
      <c r="F109" s="3"/>
      <c r="G109" s="3">
        <v>17054.9902</v>
      </c>
      <c r="H109" s="3">
        <v>39843.574200000003</v>
      </c>
      <c r="I109" t="e">
        <f t="shared" si="6"/>
        <v>#DIV/0!</v>
      </c>
      <c r="J109">
        <f t="shared" si="9"/>
        <v>4058.1031717705282</v>
      </c>
      <c r="K109">
        <f t="shared" si="10"/>
        <v>9854.2216011673627</v>
      </c>
      <c r="L109" t="e">
        <f t="shared" si="7"/>
        <v>#DIV/0!</v>
      </c>
      <c r="M109">
        <f t="shared" si="8"/>
        <v>4.7801238340320129E-2</v>
      </c>
    </row>
    <row r="110" spans="1:13" x14ac:dyDescent="0.45">
      <c r="A110" s="1" t="s">
        <v>109</v>
      </c>
      <c r="B110" s="1"/>
      <c r="C110" s="3">
        <v>5.3282999999999996</v>
      </c>
      <c r="D110" s="3">
        <v>15.7668</v>
      </c>
      <c r="E110" s="3">
        <v>26.9693</v>
      </c>
      <c r="F110" s="3">
        <v>13445.343800000001</v>
      </c>
      <c r="G110" s="3">
        <v>26290.1191</v>
      </c>
      <c r="H110" s="3">
        <v>44965.421900000001</v>
      </c>
      <c r="I110">
        <f t="shared" si="6"/>
        <v>2523.3834055890247</v>
      </c>
      <c r="J110">
        <f t="shared" si="9"/>
        <v>1667.4353134434382</v>
      </c>
      <c r="K110">
        <f t="shared" si="10"/>
        <v>1667.2817574056428</v>
      </c>
      <c r="L110">
        <f t="shared" si="7"/>
        <v>-6.9992212667502329E-3</v>
      </c>
      <c r="M110">
        <f t="shared" si="8"/>
        <v>-4.8471141468331425E-6</v>
      </c>
    </row>
    <row r="111" spans="1:13" x14ac:dyDescent="0.45">
      <c r="A111" s="1" t="s">
        <v>110</v>
      </c>
      <c r="B111" s="1"/>
      <c r="C111" s="3"/>
      <c r="D111" s="3">
        <v>0.27939999999999998</v>
      </c>
      <c r="E111" s="3">
        <v>0.53100000000000003</v>
      </c>
      <c r="F111" s="3"/>
      <c r="G111" s="3">
        <v>3980.6694000000002</v>
      </c>
      <c r="H111" s="3">
        <v>11060.113300000001</v>
      </c>
      <c r="I111" t="e">
        <f t="shared" si="6"/>
        <v>#DIV/0!</v>
      </c>
      <c r="J111">
        <f t="shared" si="9"/>
        <v>14247.206156048678</v>
      </c>
      <c r="K111">
        <f t="shared" si="10"/>
        <v>20828.838606403013</v>
      </c>
      <c r="L111" t="e">
        <f t="shared" si="7"/>
        <v>#DIV/0!</v>
      </c>
      <c r="M111">
        <f t="shared" si="8"/>
        <v>2.0189402110588395E-2</v>
      </c>
    </row>
    <row r="112" spans="1:13" x14ac:dyDescent="0.45">
      <c r="A112" s="1" t="s">
        <v>111</v>
      </c>
      <c r="B112" s="1"/>
      <c r="C112" s="3">
        <v>37.6417</v>
      </c>
      <c r="D112" s="3">
        <v>98.899799999999999</v>
      </c>
      <c r="E112" s="3">
        <v>127.57550000000001</v>
      </c>
      <c r="F112" s="3">
        <v>274371.6875</v>
      </c>
      <c r="G112" s="3">
        <v>1682700.875</v>
      </c>
      <c r="H112" s="3">
        <v>2406409.75</v>
      </c>
      <c r="I112">
        <f t="shared" si="6"/>
        <v>7289.0354978653995</v>
      </c>
      <c r="J112">
        <f t="shared" si="9"/>
        <v>17014.198967035321</v>
      </c>
      <c r="K112">
        <f t="shared" si="10"/>
        <v>18862.632323604452</v>
      </c>
      <c r="L112">
        <f t="shared" si="7"/>
        <v>1.6246005213091941E-2</v>
      </c>
      <c r="M112">
        <f t="shared" si="8"/>
        <v>5.4428964219102038E-3</v>
      </c>
    </row>
    <row r="113" spans="1:13" x14ac:dyDescent="0.45">
      <c r="A113" s="1" t="s">
        <v>112</v>
      </c>
      <c r="B113" s="1"/>
      <c r="C113" s="3"/>
      <c r="D113" s="3">
        <v>2.0348000000000002</v>
      </c>
      <c r="E113" s="3">
        <v>2.0834999999999999</v>
      </c>
      <c r="F113" s="3"/>
      <c r="G113" s="3">
        <v>20170.117200000001</v>
      </c>
      <c r="H113" s="3">
        <v>33739.859400000001</v>
      </c>
      <c r="I113" t="e">
        <f t="shared" si="6"/>
        <v>#DIV/0!</v>
      </c>
      <c r="J113">
        <f t="shared" si="9"/>
        <v>9912.5797129939056</v>
      </c>
      <c r="K113">
        <f t="shared" si="10"/>
        <v>16193.837005039599</v>
      </c>
      <c r="L113" t="e">
        <f t="shared" si="7"/>
        <v>#DIV/0!</v>
      </c>
      <c r="M113">
        <f t="shared" si="8"/>
        <v>2.616951574979498E-2</v>
      </c>
    </row>
    <row r="114" spans="1:13" x14ac:dyDescent="0.45">
      <c r="A114" s="1" t="s">
        <v>113</v>
      </c>
      <c r="B114" s="1"/>
      <c r="C114" s="3">
        <v>4.8212999999999999</v>
      </c>
      <c r="D114" s="3">
        <v>10.946400000000001</v>
      </c>
      <c r="E114" s="3">
        <v>19.658000000000001</v>
      </c>
      <c r="F114" s="3">
        <v>1497.8552999999999</v>
      </c>
      <c r="G114" s="3">
        <v>10028.617200000001</v>
      </c>
      <c r="H114" s="3">
        <v>47226.656300000002</v>
      </c>
      <c r="I114">
        <f t="shared" si="6"/>
        <v>310.67456909962044</v>
      </c>
      <c r="J114">
        <f t="shared" si="9"/>
        <v>916.15665424249073</v>
      </c>
      <c r="K114">
        <f t="shared" si="10"/>
        <v>2402.4140960423238</v>
      </c>
      <c r="L114">
        <f t="shared" si="7"/>
        <v>3.5277193361129999E-2</v>
      </c>
      <c r="M114">
        <f t="shared" si="8"/>
        <v>5.2048329003048233E-2</v>
      </c>
    </row>
    <row r="115" spans="1:13" x14ac:dyDescent="0.45">
      <c r="A115" s="1" t="s">
        <v>114</v>
      </c>
      <c r="B115" s="1"/>
      <c r="C115" s="3">
        <v>0.3301</v>
      </c>
      <c r="D115" s="3">
        <v>0.39360000000000001</v>
      </c>
      <c r="E115" s="3">
        <v>0.44040000000000001</v>
      </c>
      <c r="F115" s="3">
        <v>828.17809999999997</v>
      </c>
      <c r="G115" s="3">
        <v>8442.5272999999997</v>
      </c>
      <c r="H115" s="3">
        <v>17294.841799999998</v>
      </c>
      <c r="I115">
        <f t="shared" si="6"/>
        <v>2508.8703423205088</v>
      </c>
      <c r="J115">
        <f t="shared" si="9"/>
        <v>21449.510416666664</v>
      </c>
      <c r="K115">
        <f t="shared" si="10"/>
        <v>39270.757947320613</v>
      </c>
      <c r="L115">
        <f t="shared" si="7"/>
        <v>4.7724998474993896E-2</v>
      </c>
      <c r="M115">
        <f t="shared" si="8"/>
        <v>3.2342445860117364E-2</v>
      </c>
    </row>
    <row r="116" spans="1:13" x14ac:dyDescent="0.45">
      <c r="A116" s="1" t="s">
        <v>115</v>
      </c>
      <c r="B116" s="1"/>
      <c r="C116" s="3"/>
      <c r="D116" s="3">
        <v>46.719700000000003</v>
      </c>
      <c r="E116" s="3">
        <v>54.045400000000001</v>
      </c>
      <c r="F116" s="3"/>
      <c r="G116" s="3">
        <v>52466.574200000003</v>
      </c>
      <c r="H116" s="3">
        <v>279259</v>
      </c>
      <c r="I116" t="e">
        <f t="shared" si="6"/>
        <v>#DIV/0!</v>
      </c>
      <c r="J116">
        <f t="shared" si="9"/>
        <v>1123.0075150311325</v>
      </c>
      <c r="K116">
        <f t="shared" si="10"/>
        <v>5167.1187557127896</v>
      </c>
      <c r="L116" t="e">
        <f t="shared" si="7"/>
        <v>#DIV/0!</v>
      </c>
      <c r="M116">
        <f t="shared" si="8"/>
        <v>8.3646599881400885E-2</v>
      </c>
    </row>
    <row r="117" spans="1:13" x14ac:dyDescent="0.45">
      <c r="A117" s="1" t="s">
        <v>116</v>
      </c>
      <c r="B117" s="1"/>
      <c r="C117" s="3"/>
      <c r="D117" s="3">
        <v>0.61360000000000003</v>
      </c>
      <c r="E117" s="3">
        <v>0.628</v>
      </c>
      <c r="F117" s="3"/>
      <c r="G117" s="3">
        <v>7481.0508</v>
      </c>
      <c r="H117" s="3">
        <v>13337.984399999999</v>
      </c>
      <c r="I117" t="e">
        <f t="shared" si="6"/>
        <v>#DIV/0!</v>
      </c>
      <c r="J117">
        <f t="shared" si="9"/>
        <v>12192.064537157758</v>
      </c>
      <c r="K117">
        <f t="shared" si="10"/>
        <v>21238.828662420379</v>
      </c>
      <c r="L117" t="e">
        <f t="shared" si="7"/>
        <v>#DIV/0!</v>
      </c>
      <c r="M117">
        <f t="shared" si="8"/>
        <v>2.9643817787809335E-2</v>
      </c>
    </row>
    <row r="118" spans="1:13" x14ac:dyDescent="0.45">
      <c r="A118" s="1" t="s">
        <v>117</v>
      </c>
      <c r="B118" s="1"/>
      <c r="C118" s="3"/>
      <c r="D118" s="3">
        <v>2.3974000000000002</v>
      </c>
      <c r="E118" s="3">
        <v>3.2252000000000001</v>
      </c>
      <c r="F118" s="3"/>
      <c r="G118" s="3">
        <v>9964.9022999999997</v>
      </c>
      <c r="H118" s="3">
        <v>36614.546900000001</v>
      </c>
      <c r="I118" t="e">
        <f t="shared" si="6"/>
        <v>#DIV/0!</v>
      </c>
      <c r="J118">
        <f t="shared" si="9"/>
        <v>4156.5455493451236</v>
      </c>
      <c r="K118">
        <f t="shared" si="10"/>
        <v>11352.643836041176</v>
      </c>
      <c r="L118" t="e">
        <f t="shared" si="7"/>
        <v>#DIV/0!</v>
      </c>
      <c r="M118">
        <f t="shared" si="8"/>
        <v>5.4305691513669263E-2</v>
      </c>
    </row>
    <row r="119" spans="1:13" x14ac:dyDescent="0.45">
      <c r="A119" s="1" t="s">
        <v>118</v>
      </c>
      <c r="B119" s="1"/>
      <c r="C119" s="3">
        <v>7.2461000000000002</v>
      </c>
      <c r="D119" s="3">
        <v>17.7119</v>
      </c>
      <c r="E119" s="3">
        <v>30.366</v>
      </c>
      <c r="F119" s="3">
        <v>2996.0176000000001</v>
      </c>
      <c r="G119" s="3">
        <v>11022.526400000001</v>
      </c>
      <c r="H119" s="3">
        <v>38393.832000000002</v>
      </c>
      <c r="I119">
        <f t="shared" si="6"/>
        <v>413.46622320972659</v>
      </c>
      <c r="J119">
        <f t="shared" si="9"/>
        <v>622.32320643183402</v>
      </c>
      <c r="K119">
        <f t="shared" si="10"/>
        <v>1264.3690970164</v>
      </c>
      <c r="L119">
        <f t="shared" si="7"/>
        <v>1.9125555667435012E-2</v>
      </c>
      <c r="M119">
        <f t="shared" si="8"/>
        <v>3.8013605909873682E-2</v>
      </c>
    </row>
    <row r="120" spans="1:13" x14ac:dyDescent="0.45">
      <c r="A120" s="1" t="s">
        <v>119</v>
      </c>
      <c r="B120" s="1"/>
      <c r="C120" s="3">
        <v>0.99380000000000002</v>
      </c>
      <c r="D120" s="3">
        <v>2.6301999999999999</v>
      </c>
      <c r="E120" s="3">
        <v>4.5256999999999996</v>
      </c>
      <c r="F120" s="3">
        <v>2328.9785000000002</v>
      </c>
      <c r="G120" s="3">
        <v>11150.074199999999</v>
      </c>
      <c r="H120" s="3">
        <v>22862.271499999999</v>
      </c>
      <c r="I120">
        <f t="shared" si="6"/>
        <v>2343.5082511571745</v>
      </c>
      <c r="J120">
        <f t="shared" si="9"/>
        <v>4239.2495627708922</v>
      </c>
      <c r="K120">
        <f t="shared" si="10"/>
        <v>5051.6542192368033</v>
      </c>
      <c r="L120">
        <f t="shared" si="7"/>
        <v>1.3103183731823176E-2</v>
      </c>
      <c r="M120">
        <f t="shared" si="8"/>
        <v>9.2705761549563004E-3</v>
      </c>
    </row>
    <row r="121" spans="1:13" x14ac:dyDescent="0.45">
      <c r="A121" s="1" t="s">
        <v>120</v>
      </c>
      <c r="B121" s="1"/>
      <c r="C121" s="3"/>
      <c r="D121" s="3">
        <v>4.8999999999999998E-3</v>
      </c>
      <c r="E121" s="3">
        <v>5.0000000000000001E-3</v>
      </c>
      <c r="F121" s="3"/>
      <c r="G121" s="3">
        <v>61.9467</v>
      </c>
      <c r="H121" s="3">
        <v>79.797899999999998</v>
      </c>
      <c r="I121" t="e">
        <f t="shared" si="6"/>
        <v>#DIV/0!</v>
      </c>
      <c r="J121">
        <f t="shared" si="9"/>
        <v>12642.183673469388</v>
      </c>
      <c r="K121">
        <f t="shared" si="10"/>
        <v>15959.58</v>
      </c>
      <c r="L121" t="e">
        <f t="shared" si="7"/>
        <v>#DIV/0!</v>
      </c>
      <c r="M121">
        <f t="shared" si="8"/>
        <v>1.2339731971386936E-2</v>
      </c>
    </row>
    <row r="122" spans="1:13" x14ac:dyDescent="0.45">
      <c r="A122" s="1" t="s">
        <v>121</v>
      </c>
      <c r="B122" s="1"/>
      <c r="C122" s="3">
        <v>0.66080000000000005</v>
      </c>
      <c r="D122" s="3">
        <v>1.1851</v>
      </c>
      <c r="E122" s="3">
        <v>1.2697000000000001</v>
      </c>
      <c r="F122" s="3">
        <v>2377.2581</v>
      </c>
      <c r="G122" s="3">
        <v>14672.747100000001</v>
      </c>
      <c r="H122" s="3">
        <v>30252.9414</v>
      </c>
      <c r="I122">
        <f t="shared" si="6"/>
        <v>3597.5455508474574</v>
      </c>
      <c r="J122">
        <f t="shared" si="9"/>
        <v>12381.020251455573</v>
      </c>
      <c r="K122">
        <f t="shared" si="10"/>
        <v>23826.842088682366</v>
      </c>
      <c r="L122">
        <f t="shared" si="7"/>
        <v>3.2562323531630799E-2</v>
      </c>
      <c r="M122">
        <f t="shared" si="8"/>
        <v>3.5055618105344299E-2</v>
      </c>
    </row>
    <row r="123" spans="1:13" x14ac:dyDescent="0.45">
      <c r="A123" s="1" t="s">
        <v>122</v>
      </c>
      <c r="B123" s="1"/>
      <c r="C123" s="3">
        <v>3.6002000000000001</v>
      </c>
      <c r="D123" s="3">
        <v>11.1488</v>
      </c>
      <c r="E123" s="3">
        <v>18.628699999999998</v>
      </c>
      <c r="F123" s="3">
        <v>1486.1929</v>
      </c>
      <c r="G123" s="3">
        <v>9606.1532999999999</v>
      </c>
      <c r="H123" s="3">
        <v>22166.9277</v>
      </c>
      <c r="I123">
        <f t="shared" si="6"/>
        <v>412.80842730959392</v>
      </c>
      <c r="J123">
        <f t="shared" si="9"/>
        <v>861.63114415901271</v>
      </c>
      <c r="K123">
        <f t="shared" si="10"/>
        <v>1189.9342251472192</v>
      </c>
      <c r="L123">
        <f t="shared" si="7"/>
        <v>1.8105506726415976E-2</v>
      </c>
      <c r="M123">
        <f t="shared" si="8"/>
        <v>1.7136009573484046E-2</v>
      </c>
    </row>
    <row r="124" spans="1:13" x14ac:dyDescent="0.45">
      <c r="A124" s="1" t="s">
        <v>123</v>
      </c>
      <c r="B124" s="1"/>
      <c r="C124" s="3">
        <v>8.3465000000000007</v>
      </c>
      <c r="D124" s="3">
        <v>23.194299999999998</v>
      </c>
      <c r="E124" s="3">
        <v>31.9498</v>
      </c>
      <c r="F124" s="3">
        <v>21268.904299999998</v>
      </c>
      <c r="G124" s="3">
        <v>334534.03129999997</v>
      </c>
      <c r="H124" s="3">
        <v>821182.8125</v>
      </c>
      <c r="I124">
        <f t="shared" si="6"/>
        <v>2548.2422931767801</v>
      </c>
      <c r="J124">
        <f t="shared" si="9"/>
        <v>14423.113924541805</v>
      </c>
      <c r="K124">
        <f t="shared" si="10"/>
        <v>25702.283347626588</v>
      </c>
      <c r="L124">
        <f t="shared" si="7"/>
        <v>3.9949833256708089E-2</v>
      </c>
      <c r="M124">
        <f t="shared" si="8"/>
        <v>3.0874816261681426E-2</v>
      </c>
    </row>
    <row r="125" spans="1:13" x14ac:dyDescent="0.45">
      <c r="A125" s="1" t="s">
        <v>124</v>
      </c>
      <c r="B125" s="1"/>
      <c r="C125" s="3">
        <v>0.63149999999999995</v>
      </c>
      <c r="D125" s="3">
        <v>1.7946</v>
      </c>
      <c r="E125" s="3">
        <v>2.4944999999999999</v>
      </c>
      <c r="F125" s="3">
        <v>2729.5146</v>
      </c>
      <c r="G125" s="3">
        <v>11865.195299999999</v>
      </c>
      <c r="H125" s="3">
        <v>23732.877</v>
      </c>
      <c r="I125">
        <f t="shared" si="6"/>
        <v>4322.2717339667461</v>
      </c>
      <c r="J125">
        <f t="shared" si="9"/>
        <v>6611.6099966566362</v>
      </c>
      <c r="K125">
        <f t="shared" si="10"/>
        <v>9514.0817799158158</v>
      </c>
      <c r="L125">
        <f t="shared" si="7"/>
        <v>1.3462558525664914E-2</v>
      </c>
      <c r="M125">
        <f t="shared" si="8"/>
        <v>1.9339676918382454E-2</v>
      </c>
    </row>
    <row r="126" spans="1:13" x14ac:dyDescent="0.45">
      <c r="A126" s="1" t="s">
        <v>125</v>
      </c>
      <c r="B126" s="1"/>
      <c r="C126" s="3">
        <v>3.6459999999999999</v>
      </c>
      <c r="D126" s="3">
        <v>11.3316</v>
      </c>
      <c r="E126" s="3">
        <v>23.310700000000001</v>
      </c>
      <c r="F126" s="3">
        <v>6130.5532000000003</v>
      </c>
      <c r="G126" s="3">
        <v>10134.6582</v>
      </c>
      <c r="H126" s="3">
        <v>27602.597699999998</v>
      </c>
      <c r="I126">
        <f t="shared" si="6"/>
        <v>1681.4462973121231</v>
      </c>
      <c r="J126">
        <f t="shared" si="9"/>
        <v>894.37133326273431</v>
      </c>
      <c r="K126">
        <f t="shared" si="10"/>
        <v>1184.1170664115621</v>
      </c>
      <c r="L126">
        <f t="shared" si="7"/>
        <v>-5.9257107499000039E-3</v>
      </c>
      <c r="M126">
        <f t="shared" si="8"/>
        <v>1.4879702721551258E-2</v>
      </c>
    </row>
    <row r="127" spans="1:13" x14ac:dyDescent="0.45">
      <c r="A127" s="1" t="s">
        <v>126</v>
      </c>
      <c r="B127" s="1"/>
      <c r="C127" s="3">
        <v>41.843800000000002</v>
      </c>
      <c r="D127" s="3">
        <v>122.2839</v>
      </c>
      <c r="E127" s="3">
        <v>200.96360000000001</v>
      </c>
      <c r="F127" s="3">
        <v>141879.82810000001</v>
      </c>
      <c r="G127" s="3">
        <v>354939.25</v>
      </c>
      <c r="H127" s="3">
        <v>1006236.5625</v>
      </c>
      <c r="I127">
        <f t="shared" si="6"/>
        <v>3390.7013249274687</v>
      </c>
      <c r="J127">
        <f t="shared" si="9"/>
        <v>2902.5836598276633</v>
      </c>
      <c r="K127">
        <f t="shared" si="10"/>
        <v>5007.058803186248</v>
      </c>
      <c r="L127">
        <f t="shared" si="7"/>
        <v>6.6288555532556526E-3</v>
      </c>
      <c r="M127">
        <f t="shared" si="8"/>
        <v>2.9112965473862218E-2</v>
      </c>
    </row>
    <row r="128" spans="1:13" x14ac:dyDescent="0.45">
      <c r="A128" s="1" t="s">
        <v>127</v>
      </c>
      <c r="B128" s="1"/>
      <c r="C128" s="3">
        <v>1.7501</v>
      </c>
      <c r="D128" s="3">
        <v>5.0693000000000001</v>
      </c>
      <c r="E128" s="3">
        <v>6.5454999999999997</v>
      </c>
      <c r="F128" s="3">
        <v>7451.2133999999996</v>
      </c>
      <c r="G128" s="3">
        <v>18948.765599999999</v>
      </c>
      <c r="H128" s="3">
        <v>33332.582000000002</v>
      </c>
      <c r="I128">
        <f t="shared" si="6"/>
        <v>4257.5929375464257</v>
      </c>
      <c r="J128">
        <f t="shared" si="9"/>
        <v>3737.9451995344521</v>
      </c>
      <c r="K128">
        <f t="shared" si="10"/>
        <v>5092.4424413719353</v>
      </c>
      <c r="L128">
        <f t="shared" si="7"/>
        <v>3.0394165353335723E-3</v>
      </c>
      <c r="M128">
        <f t="shared" si="8"/>
        <v>1.6407972943507598E-2</v>
      </c>
    </row>
    <row r="129" spans="1:13" x14ac:dyDescent="0.45">
      <c r="A129" s="1" t="s">
        <v>128</v>
      </c>
      <c r="B129" s="1"/>
      <c r="C129" s="3">
        <v>11.459199999999999</v>
      </c>
      <c r="D129" s="3">
        <v>15.9262</v>
      </c>
      <c r="E129" s="3">
        <v>17.097100000000001</v>
      </c>
      <c r="F129" s="3">
        <v>183961.3438</v>
      </c>
      <c r="G129" s="3">
        <v>738727.1875</v>
      </c>
      <c r="H129" s="3">
        <v>960770.875</v>
      </c>
      <c r="I129">
        <f t="shared" si="6"/>
        <v>16053.593950712093</v>
      </c>
      <c r="J129">
        <f t="shared" si="9"/>
        <v>46384.397251070564</v>
      </c>
      <c r="K129">
        <f t="shared" si="10"/>
        <v>56194.961426206777</v>
      </c>
      <c r="L129">
        <f t="shared" si="7"/>
        <v>2.1462575186973476E-2</v>
      </c>
      <c r="M129">
        <f t="shared" si="8"/>
        <v>1.0149261162219814E-2</v>
      </c>
    </row>
    <row r="130" spans="1:13" x14ac:dyDescent="0.45">
      <c r="A130" s="1" t="s">
        <v>129</v>
      </c>
      <c r="B130" s="1"/>
      <c r="C130" s="3">
        <v>3.58</v>
      </c>
      <c r="D130" s="3">
        <v>4.4993999999999996</v>
      </c>
      <c r="E130" s="3">
        <v>5.3788999999999998</v>
      </c>
      <c r="F130" s="3">
        <v>63278.406300000002</v>
      </c>
      <c r="G130" s="3">
        <v>279826.875</v>
      </c>
      <c r="H130" s="3">
        <v>377715.34379999997</v>
      </c>
      <c r="I130">
        <f t="shared" si="6"/>
        <v>17675.53248603352</v>
      </c>
      <c r="J130">
        <f t="shared" si="9"/>
        <v>62192.042272302977</v>
      </c>
      <c r="K130">
        <f t="shared" si="10"/>
        <v>70221.670564613582</v>
      </c>
      <c r="L130">
        <f t="shared" si="7"/>
        <v>2.3656419787119853E-2</v>
      </c>
      <c r="M130">
        <f t="shared" si="8"/>
        <v>6.4115140638532075E-3</v>
      </c>
    </row>
    <row r="131" spans="1:13" x14ac:dyDescent="0.45">
      <c r="A131" s="1" t="s">
        <v>130</v>
      </c>
      <c r="B131" s="1"/>
      <c r="C131" s="3">
        <v>10.166</v>
      </c>
      <c r="D131" s="3">
        <v>23.941099999999999</v>
      </c>
      <c r="E131" s="3">
        <v>28.608699999999999</v>
      </c>
      <c r="F131" s="3">
        <v>11155.608399999999</v>
      </c>
      <c r="G131" s="3">
        <v>45505.796900000001</v>
      </c>
      <c r="H131" s="3">
        <v>103411.7344</v>
      </c>
      <c r="I131">
        <f t="shared" si="6"/>
        <v>1097.3449144206177</v>
      </c>
      <c r="J131">
        <f t="shared" si="9"/>
        <v>1900.7396026080673</v>
      </c>
      <c r="K131">
        <f t="shared" si="10"/>
        <v>3614.6953339368797</v>
      </c>
      <c r="L131">
        <f t="shared" si="7"/>
        <v>2.0410831793281847E-2</v>
      </c>
      <c r="M131">
        <f t="shared" si="8"/>
        <v>3.4408442794344074E-2</v>
      </c>
    </row>
    <row r="132" spans="1:13" x14ac:dyDescent="0.45">
      <c r="A132" s="1" t="s">
        <v>131</v>
      </c>
      <c r="B132" s="1"/>
      <c r="C132" s="3">
        <v>2.3635999999999999</v>
      </c>
      <c r="D132" s="3">
        <v>3.859</v>
      </c>
      <c r="E132" s="3">
        <v>4.7831000000000001</v>
      </c>
      <c r="F132" s="3">
        <v>40998.097699999998</v>
      </c>
      <c r="G132" s="3">
        <v>113713.2813</v>
      </c>
      <c r="H132" s="3">
        <v>196352.7813</v>
      </c>
      <c r="I132">
        <f t="shared" ref="I132:I185" si="11">F132/C132</f>
        <v>17345.61588255204</v>
      </c>
      <c r="J132">
        <f t="shared" si="9"/>
        <v>29467.033246955172</v>
      </c>
      <c r="K132">
        <f t="shared" si="10"/>
        <v>41051.364449833789</v>
      </c>
      <c r="L132">
        <f t="shared" ref="L132:L185" si="12">(K132/I132)^(1/59)-1</f>
        <v>1.4708550184172164E-2</v>
      </c>
      <c r="M132">
        <f t="shared" ref="M132:M185" si="13">(K132/J132)^(1/19)-1</f>
        <v>1.7603245302902248E-2</v>
      </c>
    </row>
    <row r="133" spans="1:13" x14ac:dyDescent="0.45">
      <c r="A133" s="1" t="s">
        <v>132</v>
      </c>
      <c r="B133" s="1"/>
      <c r="C133" s="3"/>
      <c r="D133" s="3">
        <v>2.2679999999999998</v>
      </c>
      <c r="E133" s="3">
        <v>4.9749999999999996</v>
      </c>
      <c r="F133" s="3"/>
      <c r="G133" s="3">
        <v>82028.523400000005</v>
      </c>
      <c r="H133" s="3">
        <v>145134.79689999999</v>
      </c>
      <c r="I133" t="e">
        <f t="shared" si="11"/>
        <v>#DIV/0!</v>
      </c>
      <c r="J133">
        <f t="shared" si="9"/>
        <v>36167.779276895948</v>
      </c>
      <c r="K133">
        <f t="shared" si="10"/>
        <v>29172.823497487436</v>
      </c>
      <c r="L133" t="e">
        <f t="shared" si="12"/>
        <v>#DIV/0!</v>
      </c>
      <c r="M133">
        <f t="shared" si="13"/>
        <v>-1.1248419840375834E-2</v>
      </c>
    </row>
    <row r="134" spans="1:13" x14ac:dyDescent="0.45">
      <c r="A134" s="1" t="s">
        <v>133</v>
      </c>
      <c r="B134" s="1"/>
      <c r="C134" s="3">
        <v>44.586500000000001</v>
      </c>
      <c r="D134" s="3">
        <v>142.34360000000001</v>
      </c>
      <c r="E134" s="3">
        <v>216.56530000000001</v>
      </c>
      <c r="F134" s="3">
        <v>56423.148399999998</v>
      </c>
      <c r="G134" s="3">
        <v>482024.46879999997</v>
      </c>
      <c r="H134" s="3">
        <v>1078572.625</v>
      </c>
      <c r="I134">
        <f t="shared" si="11"/>
        <v>1265.4760611395825</v>
      </c>
      <c r="J134">
        <f t="shared" si="9"/>
        <v>3386.3445128548101</v>
      </c>
      <c r="K134">
        <f t="shared" si="10"/>
        <v>4980.3575411203919</v>
      </c>
      <c r="L134">
        <f t="shared" si="12"/>
        <v>2.3492954502329022E-2</v>
      </c>
      <c r="M134">
        <f t="shared" si="13"/>
        <v>2.0510167290913817E-2</v>
      </c>
    </row>
    <row r="135" spans="1:13" x14ac:dyDescent="0.45">
      <c r="A135" s="1" t="s">
        <v>134</v>
      </c>
      <c r="B135" s="1"/>
      <c r="C135" s="3">
        <v>1.1388</v>
      </c>
      <c r="D135" s="3">
        <v>3.0303</v>
      </c>
      <c r="E135" s="3">
        <v>4.2464000000000004</v>
      </c>
      <c r="F135" s="3">
        <v>4896.3671999999997</v>
      </c>
      <c r="G135" s="3">
        <v>42538.457000000002</v>
      </c>
      <c r="H135" s="3">
        <v>129144.78909999999</v>
      </c>
      <c r="I135">
        <f t="shared" si="11"/>
        <v>4299.584826132771</v>
      </c>
      <c r="J135">
        <f t="shared" si="9"/>
        <v>14037.704847704848</v>
      </c>
      <c r="K135">
        <f t="shared" si="10"/>
        <v>30412.770605689522</v>
      </c>
      <c r="L135">
        <f t="shared" si="12"/>
        <v>3.3714241032460457E-2</v>
      </c>
      <c r="M135">
        <f t="shared" si="13"/>
        <v>4.1529493527248995E-2</v>
      </c>
    </row>
    <row r="136" spans="1:13" x14ac:dyDescent="0.45">
      <c r="A136" s="1" t="s">
        <v>135</v>
      </c>
      <c r="B136" s="1"/>
      <c r="C136" s="3">
        <v>10.132</v>
      </c>
      <c r="D136" s="3">
        <v>26.459900000000001</v>
      </c>
      <c r="E136" s="3">
        <v>32.5105</v>
      </c>
      <c r="F136" s="3">
        <v>51042.632799999999</v>
      </c>
      <c r="G136" s="3">
        <v>162466.375</v>
      </c>
      <c r="H136" s="3">
        <v>399324.96879999997</v>
      </c>
      <c r="I136">
        <f t="shared" si="11"/>
        <v>5037.7647848401102</v>
      </c>
      <c r="J136">
        <f t="shared" si="9"/>
        <v>6140.0978461747773</v>
      </c>
      <c r="K136">
        <f t="shared" si="10"/>
        <v>12282.95377801018</v>
      </c>
      <c r="L136">
        <f t="shared" si="12"/>
        <v>1.5220602456919474E-2</v>
      </c>
      <c r="M136">
        <f t="shared" si="13"/>
        <v>3.7167303200656754E-2</v>
      </c>
    </row>
    <row r="137" spans="1:13" x14ac:dyDescent="0.45">
      <c r="A137" s="1" t="s">
        <v>136</v>
      </c>
      <c r="B137" s="1"/>
      <c r="C137" s="3">
        <v>26.459599999999998</v>
      </c>
      <c r="D137" s="3">
        <v>77.991799999999998</v>
      </c>
      <c r="E137" s="3">
        <v>108.11660000000001</v>
      </c>
      <c r="F137" s="3">
        <v>75788.265599999999</v>
      </c>
      <c r="G137" s="3">
        <v>341509.21879999997</v>
      </c>
      <c r="H137" s="3">
        <v>929959.5</v>
      </c>
      <c r="I137">
        <f t="shared" si="11"/>
        <v>2864.3012592782961</v>
      </c>
      <c r="J137">
        <f t="shared" si="9"/>
        <v>4378.7836516146563</v>
      </c>
      <c r="K137">
        <f t="shared" si="10"/>
        <v>8601.4497311236191</v>
      </c>
      <c r="L137">
        <f t="shared" si="12"/>
        <v>1.8812155691495303E-2</v>
      </c>
      <c r="M137">
        <f t="shared" si="13"/>
        <v>3.6173628999556229E-2</v>
      </c>
    </row>
    <row r="138" spans="1:13" x14ac:dyDescent="0.45">
      <c r="A138" s="1" t="s">
        <v>137</v>
      </c>
      <c r="B138" s="1"/>
      <c r="C138" s="3"/>
      <c r="D138" s="3">
        <v>38.556699999999999</v>
      </c>
      <c r="E138" s="3">
        <v>37.887799999999999</v>
      </c>
      <c r="F138" s="3"/>
      <c r="G138" s="3">
        <v>600618.3125</v>
      </c>
      <c r="H138" s="3">
        <v>1214221.5</v>
      </c>
      <c r="I138" t="e">
        <f t="shared" si="11"/>
        <v>#DIV/0!</v>
      </c>
      <c r="J138">
        <f t="shared" si="9"/>
        <v>15577.534189907332</v>
      </c>
      <c r="K138">
        <f t="shared" si="10"/>
        <v>32047.822782003706</v>
      </c>
      <c r="L138" t="e">
        <f t="shared" si="12"/>
        <v>#DIV/0!</v>
      </c>
      <c r="M138">
        <f t="shared" si="13"/>
        <v>3.869840341542008E-2</v>
      </c>
    </row>
    <row r="139" spans="1:13" x14ac:dyDescent="0.45">
      <c r="A139" s="1" t="s">
        <v>138</v>
      </c>
      <c r="B139" s="1"/>
      <c r="C139" s="3">
        <v>8.6441999999999997</v>
      </c>
      <c r="D139" s="3">
        <v>10.2971</v>
      </c>
      <c r="E139" s="3">
        <v>10.2262</v>
      </c>
      <c r="F139" s="3">
        <v>53309.011700000003</v>
      </c>
      <c r="G139" s="3">
        <v>287572.5</v>
      </c>
      <c r="H139" s="3">
        <v>329200.75</v>
      </c>
      <c r="I139">
        <f t="shared" si="11"/>
        <v>6167.0266421415517</v>
      </c>
      <c r="J139">
        <f t="shared" si="9"/>
        <v>27927.523283254508</v>
      </c>
      <c r="K139">
        <f t="shared" si="10"/>
        <v>32191.894349807357</v>
      </c>
      <c r="L139">
        <f t="shared" si="12"/>
        <v>2.8404362661842431E-2</v>
      </c>
      <c r="M139">
        <f t="shared" si="13"/>
        <v>7.5070901997900119E-3</v>
      </c>
    </row>
    <row r="140" spans="1:13" x14ac:dyDescent="0.45">
      <c r="A140" s="1" t="s">
        <v>139</v>
      </c>
      <c r="B140" s="1"/>
      <c r="C140" s="3">
        <v>1.9079999999999999</v>
      </c>
      <c r="D140" s="3">
        <v>5.3231999999999999</v>
      </c>
      <c r="E140" s="3">
        <v>7.0446</v>
      </c>
      <c r="F140" s="3">
        <v>7033.5946999999996</v>
      </c>
      <c r="G140" s="3">
        <v>37593.125</v>
      </c>
      <c r="H140" s="3">
        <v>87833.367199999993</v>
      </c>
      <c r="I140">
        <f t="shared" si="11"/>
        <v>3686.3703878406709</v>
      </c>
      <c r="J140">
        <f t="shared" si="9"/>
        <v>7062.1289825668773</v>
      </c>
      <c r="K140">
        <f t="shared" si="10"/>
        <v>12468.183743576639</v>
      </c>
      <c r="L140">
        <f t="shared" si="12"/>
        <v>2.0867935235381108E-2</v>
      </c>
      <c r="M140">
        <f t="shared" si="13"/>
        <v>3.0369581217095876E-2</v>
      </c>
    </row>
    <row r="141" spans="1:13" x14ac:dyDescent="0.45">
      <c r="A141" s="1" t="s">
        <v>140</v>
      </c>
      <c r="B141" s="1"/>
      <c r="C141" s="3"/>
      <c r="D141" s="3">
        <v>3.2240000000000002</v>
      </c>
      <c r="E141" s="3">
        <v>4.9813999999999998</v>
      </c>
      <c r="F141" s="3"/>
      <c r="G141" s="3">
        <v>14480.919900000001</v>
      </c>
      <c r="H141" s="3">
        <v>32069.546900000001</v>
      </c>
      <c r="I141" t="e">
        <f t="shared" si="11"/>
        <v>#DIV/0!</v>
      </c>
      <c r="J141">
        <f t="shared" si="9"/>
        <v>4491.6004652605461</v>
      </c>
      <c r="K141">
        <f t="shared" si="10"/>
        <v>6437.8582125506891</v>
      </c>
      <c r="L141" t="e">
        <f t="shared" si="12"/>
        <v>#DIV/0!</v>
      </c>
      <c r="M141">
        <f t="shared" si="13"/>
        <v>1.9127301926582518E-2</v>
      </c>
    </row>
    <row r="142" spans="1:13" x14ac:dyDescent="0.45">
      <c r="A142" s="1" t="s">
        <v>141</v>
      </c>
      <c r="B142" s="1"/>
      <c r="C142" s="3"/>
      <c r="D142" s="3">
        <v>0.59250000000000003</v>
      </c>
      <c r="E142" s="3">
        <v>2.8321000000000001</v>
      </c>
      <c r="F142" s="3"/>
      <c r="G142" s="3">
        <v>64192.968800000002</v>
      </c>
      <c r="H142" s="3">
        <v>304382.5</v>
      </c>
      <c r="I142" t="e">
        <f t="shared" si="11"/>
        <v>#DIV/0!</v>
      </c>
      <c r="J142">
        <f t="shared" si="9"/>
        <v>108342.56337552743</v>
      </c>
      <c r="K142">
        <f t="shared" si="10"/>
        <v>107475.90127467251</v>
      </c>
      <c r="L142" t="e">
        <f t="shared" si="12"/>
        <v>#DIV/0!</v>
      </c>
      <c r="M142">
        <f t="shared" si="13"/>
        <v>-4.226181546174157E-4</v>
      </c>
    </row>
    <row r="143" spans="1:13" x14ac:dyDescent="0.45">
      <c r="A143" s="1" t="s">
        <v>142</v>
      </c>
      <c r="B143" s="1"/>
      <c r="C143" s="3">
        <v>18.672699999999999</v>
      </c>
      <c r="D143" s="3">
        <v>22.1374</v>
      </c>
      <c r="E143" s="3">
        <v>19.364599999999999</v>
      </c>
      <c r="F143" s="3">
        <v>46672.722699999998</v>
      </c>
      <c r="G143" s="3">
        <v>254189.89060000001</v>
      </c>
      <c r="H143" s="3">
        <v>543143.125</v>
      </c>
      <c r="I143">
        <f t="shared" si="11"/>
        <v>2499.5165509005124</v>
      </c>
      <c r="J143">
        <f t="shared" si="9"/>
        <v>11482.373295870339</v>
      </c>
      <c r="K143">
        <f t="shared" si="10"/>
        <v>28048.249124691447</v>
      </c>
      <c r="L143">
        <f t="shared" si="12"/>
        <v>4.183142545772367E-2</v>
      </c>
      <c r="M143">
        <f t="shared" si="13"/>
        <v>4.8128248602119728E-2</v>
      </c>
    </row>
    <row r="144" spans="1:13" x14ac:dyDescent="0.45">
      <c r="A144" s="1" t="s">
        <v>143</v>
      </c>
      <c r="B144" s="1"/>
      <c r="C144" s="3"/>
      <c r="D144" s="3">
        <v>146.4049</v>
      </c>
      <c r="E144" s="3">
        <v>145.8723</v>
      </c>
      <c r="F144" s="3"/>
      <c r="G144" s="3">
        <v>2194873.5</v>
      </c>
      <c r="H144" s="3">
        <v>4052184.5</v>
      </c>
      <c r="I144" t="e">
        <f t="shared" si="11"/>
        <v>#DIV/0!</v>
      </c>
      <c r="J144">
        <f t="shared" si="9"/>
        <v>14991.803553023157</v>
      </c>
      <c r="K144">
        <f t="shared" si="10"/>
        <v>27778.9854550864</v>
      </c>
      <c r="L144" t="e">
        <f t="shared" si="12"/>
        <v>#DIV/0!</v>
      </c>
      <c r="M144">
        <f t="shared" si="13"/>
        <v>3.2994540413426865E-2</v>
      </c>
    </row>
    <row r="145" spans="1:13" x14ac:dyDescent="0.45">
      <c r="A145" s="1" t="s">
        <v>144</v>
      </c>
      <c r="B145" s="1"/>
      <c r="C145" s="3">
        <v>3.0223</v>
      </c>
      <c r="D145" s="3">
        <v>7.9337</v>
      </c>
      <c r="E145" s="3">
        <v>12.627000000000001</v>
      </c>
      <c r="F145" s="3">
        <v>2421.0041999999999</v>
      </c>
      <c r="G145" s="3">
        <v>7206.5303000000004</v>
      </c>
      <c r="H145" s="3">
        <v>29437.9375</v>
      </c>
      <c r="I145">
        <f t="shared" si="11"/>
        <v>801.04695099758453</v>
      </c>
      <c r="J145">
        <f t="shared" si="9"/>
        <v>908.34418997441298</v>
      </c>
      <c r="K145">
        <f t="shared" si="10"/>
        <v>2331.3484992476438</v>
      </c>
      <c r="L145">
        <f t="shared" si="12"/>
        <v>1.8271400528373727E-2</v>
      </c>
      <c r="M145">
        <f t="shared" si="13"/>
        <v>5.0860559117182236E-2</v>
      </c>
    </row>
    <row r="146" spans="1:13" x14ac:dyDescent="0.45">
      <c r="A146" s="1" t="s">
        <v>145</v>
      </c>
      <c r="B146" s="1"/>
      <c r="C146" s="3"/>
      <c r="D146" s="3">
        <v>20.663799999999998</v>
      </c>
      <c r="E146" s="3">
        <v>34.268500000000003</v>
      </c>
      <c r="F146" s="3"/>
      <c r="G146" s="3">
        <v>888604</v>
      </c>
      <c r="H146" s="3">
        <v>1649509.25</v>
      </c>
      <c r="I146" t="e">
        <f t="shared" si="11"/>
        <v>#DIV/0!</v>
      </c>
      <c r="J146">
        <f t="shared" si="9"/>
        <v>43002.932664853513</v>
      </c>
      <c r="K146">
        <f t="shared" si="10"/>
        <v>48134.854166362689</v>
      </c>
      <c r="L146" t="e">
        <f t="shared" si="12"/>
        <v>#DIV/0!</v>
      </c>
      <c r="M146">
        <f t="shared" si="13"/>
        <v>5.9512290736543072E-3</v>
      </c>
    </row>
    <row r="147" spans="1:13" x14ac:dyDescent="0.45">
      <c r="A147" s="1" t="s">
        <v>146</v>
      </c>
      <c r="B147" s="1"/>
      <c r="C147" s="3"/>
      <c r="D147" s="3">
        <v>27.274999999999999</v>
      </c>
      <c r="E147" s="3">
        <v>42.813200000000002</v>
      </c>
      <c r="F147" s="3"/>
      <c r="G147" s="3">
        <v>69302.539099999995</v>
      </c>
      <c r="H147" s="3">
        <v>182462.5625</v>
      </c>
      <c r="I147" t="e">
        <f t="shared" si="11"/>
        <v>#DIV/0!</v>
      </c>
      <c r="J147">
        <f t="shared" ref="J147:J185" si="14">G147/D147</f>
        <v>2540.8813602199816</v>
      </c>
      <c r="K147">
        <f t="shared" ref="K147:K185" si="15">H147/E147</f>
        <v>4261.8295876038228</v>
      </c>
      <c r="L147" t="e">
        <f t="shared" si="12"/>
        <v>#DIV/0!</v>
      </c>
      <c r="M147">
        <f t="shared" si="13"/>
        <v>2.7594256103375514E-2</v>
      </c>
    </row>
    <row r="148" spans="1:13" x14ac:dyDescent="0.45">
      <c r="A148" s="1" t="s">
        <v>147</v>
      </c>
      <c r="B148" s="1"/>
      <c r="C148" s="3">
        <v>3.2241</v>
      </c>
      <c r="D148" s="3">
        <v>9.7977000000000007</v>
      </c>
      <c r="E148" s="3">
        <v>16.296399999999998</v>
      </c>
      <c r="F148" s="3">
        <v>9145.7060999999994</v>
      </c>
      <c r="G148" s="3">
        <v>23280.765599999999</v>
      </c>
      <c r="H148" s="3">
        <v>54101.007799999999</v>
      </c>
      <c r="I148">
        <f t="shared" si="11"/>
        <v>2836.6694891597654</v>
      </c>
      <c r="J148">
        <f t="shared" si="14"/>
        <v>2376.1459934474415</v>
      </c>
      <c r="K148">
        <f t="shared" si="15"/>
        <v>3319.8134434599056</v>
      </c>
      <c r="L148">
        <f t="shared" si="12"/>
        <v>2.6692840201198997E-3</v>
      </c>
      <c r="M148">
        <f t="shared" si="13"/>
        <v>1.7757332397513981E-2</v>
      </c>
    </row>
    <row r="149" spans="1:13" x14ac:dyDescent="0.45">
      <c r="A149" s="1" t="s">
        <v>148</v>
      </c>
      <c r="B149" s="1"/>
      <c r="C149" s="3">
        <v>1.6446000000000001</v>
      </c>
      <c r="D149" s="3">
        <v>4.0289000000000001</v>
      </c>
      <c r="E149" s="3">
        <v>5.8042999999999996</v>
      </c>
      <c r="F149" s="3">
        <v>8494.6650000000009</v>
      </c>
      <c r="G149" s="3">
        <v>196837.01560000001</v>
      </c>
      <c r="H149" s="3">
        <v>484399.90629999997</v>
      </c>
      <c r="I149">
        <f t="shared" si="11"/>
        <v>5165.1860634804816</v>
      </c>
      <c r="J149">
        <f t="shared" si="14"/>
        <v>48856.267368264293</v>
      </c>
      <c r="K149">
        <f t="shared" si="15"/>
        <v>83455.353151973541</v>
      </c>
      <c r="L149">
        <f t="shared" si="12"/>
        <v>4.82884901934586E-2</v>
      </c>
      <c r="M149">
        <f t="shared" si="13"/>
        <v>2.8581306435061071E-2</v>
      </c>
    </row>
    <row r="150" spans="1:13" x14ac:dyDescent="0.45">
      <c r="A150" s="1" t="s">
        <v>149</v>
      </c>
      <c r="B150" s="1"/>
      <c r="C150" s="3"/>
      <c r="D150" s="3">
        <v>4.5846</v>
      </c>
      <c r="E150" s="3">
        <v>7.8132000000000001</v>
      </c>
      <c r="F150" s="3"/>
      <c r="G150" s="3">
        <v>4076.1750000000002</v>
      </c>
      <c r="H150" s="3">
        <v>14164.477500000001</v>
      </c>
      <c r="I150" t="e">
        <f t="shared" si="11"/>
        <v>#DIV/0!</v>
      </c>
      <c r="J150">
        <f t="shared" si="14"/>
        <v>889.10155738777655</v>
      </c>
      <c r="K150">
        <f t="shared" si="15"/>
        <v>1812.8906849946245</v>
      </c>
      <c r="L150" t="e">
        <f t="shared" si="12"/>
        <v>#DIV/0!</v>
      </c>
      <c r="M150">
        <f t="shared" si="13"/>
        <v>3.8210163659648355E-2</v>
      </c>
    </row>
    <row r="151" spans="1:13" x14ac:dyDescent="0.45">
      <c r="A151" s="1" t="s">
        <v>150</v>
      </c>
      <c r="B151" s="1"/>
      <c r="C151" s="3">
        <v>2.6311</v>
      </c>
      <c r="D151" s="3">
        <v>5.8879000000000001</v>
      </c>
      <c r="E151" s="3">
        <v>6.4535999999999998</v>
      </c>
      <c r="F151" s="3">
        <v>9963.2821999999996</v>
      </c>
      <c r="G151" s="3">
        <v>36450.230499999998</v>
      </c>
      <c r="H151" s="3">
        <v>53204.8125</v>
      </c>
      <c r="I151">
        <f t="shared" si="11"/>
        <v>3786.7364220288091</v>
      </c>
      <c r="J151">
        <f t="shared" si="14"/>
        <v>6190.7013536235327</v>
      </c>
      <c r="K151">
        <f t="shared" si="15"/>
        <v>8244.2067218296761</v>
      </c>
      <c r="L151">
        <f t="shared" si="12"/>
        <v>1.3273871546581884E-2</v>
      </c>
      <c r="M151">
        <f t="shared" si="13"/>
        <v>1.519119679121661E-2</v>
      </c>
    </row>
    <row r="152" spans="1:13" x14ac:dyDescent="0.45">
      <c r="A152" s="1" t="s">
        <v>151</v>
      </c>
      <c r="B152" s="1"/>
      <c r="C152" s="3"/>
      <c r="D152" s="3">
        <v>7.5163000000000002</v>
      </c>
      <c r="E152" s="3">
        <v>6.9945000000000004</v>
      </c>
      <c r="F152" s="3"/>
      <c r="G152" s="3">
        <v>64774.433599999997</v>
      </c>
      <c r="H152" s="3">
        <v>123007.1094</v>
      </c>
      <c r="I152" t="e">
        <f t="shared" si="11"/>
        <v>#DIV/0!</v>
      </c>
      <c r="J152">
        <f t="shared" si="14"/>
        <v>8617.8616606575033</v>
      </c>
      <c r="K152">
        <f t="shared" si="15"/>
        <v>17586.261977267852</v>
      </c>
      <c r="L152" t="e">
        <f t="shared" si="12"/>
        <v>#DIV/0!</v>
      </c>
      <c r="M152">
        <f t="shared" si="13"/>
        <v>3.8254676180836E-2</v>
      </c>
    </row>
    <row r="153" spans="1:13" x14ac:dyDescent="0.45">
      <c r="A153" s="1" t="s">
        <v>152</v>
      </c>
      <c r="B153" s="1"/>
      <c r="C153" s="3"/>
      <c r="D153" s="3">
        <v>0.14230000000000001</v>
      </c>
      <c r="E153" s="3">
        <v>0.21510000000000001</v>
      </c>
      <c r="F153" s="3"/>
      <c r="G153" s="3">
        <v>374.084</v>
      </c>
      <c r="H153" s="3">
        <v>878.14120000000003</v>
      </c>
      <c r="I153" t="e">
        <f t="shared" si="11"/>
        <v>#DIV/0!</v>
      </c>
      <c r="J153">
        <f t="shared" si="14"/>
        <v>2628.8404778636682</v>
      </c>
      <c r="K153">
        <f t="shared" si="15"/>
        <v>4082.4788470478848</v>
      </c>
      <c r="L153" t="e">
        <f t="shared" si="12"/>
        <v>#DIV/0!</v>
      </c>
      <c r="M153">
        <f t="shared" si="13"/>
        <v>2.3436819796571307E-2</v>
      </c>
    </row>
    <row r="154" spans="1:13" x14ac:dyDescent="0.45">
      <c r="A154" s="1" t="s">
        <v>153</v>
      </c>
      <c r="B154" s="1"/>
      <c r="C154" s="3"/>
      <c r="D154" s="3">
        <v>0.47089999999999999</v>
      </c>
      <c r="E154" s="3">
        <v>0.58140000000000003</v>
      </c>
      <c r="F154" s="3"/>
      <c r="G154" s="3">
        <v>4678.0614999999998</v>
      </c>
      <c r="H154" s="3">
        <v>8026.1864999999998</v>
      </c>
      <c r="I154" t="e">
        <f t="shared" si="11"/>
        <v>#DIV/0!</v>
      </c>
      <c r="J154">
        <f t="shared" si="14"/>
        <v>9934.2992142705461</v>
      </c>
      <c r="K154">
        <f t="shared" si="15"/>
        <v>13804.930340557274</v>
      </c>
      <c r="L154" t="e">
        <f t="shared" si="12"/>
        <v>#DIV/0!</v>
      </c>
      <c r="M154">
        <f t="shared" si="13"/>
        <v>1.7468315254272948E-2</v>
      </c>
    </row>
    <row r="155" spans="1:13" x14ac:dyDescent="0.45">
      <c r="A155" s="1" t="s">
        <v>154</v>
      </c>
      <c r="B155" s="1"/>
      <c r="C155" s="3"/>
      <c r="D155" s="3">
        <v>5.3992000000000004</v>
      </c>
      <c r="E155" s="3">
        <v>5.4569999999999999</v>
      </c>
      <c r="F155" s="3"/>
      <c r="G155" s="3">
        <v>74339.531300000002</v>
      </c>
      <c r="H155" s="3">
        <v>153090.9688</v>
      </c>
      <c r="I155" t="e">
        <f t="shared" si="11"/>
        <v>#DIV/0!</v>
      </c>
      <c r="J155">
        <f t="shared" si="14"/>
        <v>13768.619665876426</v>
      </c>
      <c r="K155">
        <f t="shared" si="15"/>
        <v>28054.053289353127</v>
      </c>
      <c r="L155" t="e">
        <f t="shared" si="12"/>
        <v>#DIV/0!</v>
      </c>
      <c r="M155">
        <f t="shared" si="13"/>
        <v>3.8170527255156017E-2</v>
      </c>
    </row>
    <row r="156" spans="1:13" x14ac:dyDescent="0.45">
      <c r="A156" s="1" t="s">
        <v>155</v>
      </c>
      <c r="B156" s="1"/>
      <c r="C156" s="3"/>
      <c r="D156" s="3">
        <v>1.9877</v>
      </c>
      <c r="E156" s="3">
        <v>2.0787</v>
      </c>
      <c r="F156" s="3"/>
      <c r="G156" s="3">
        <v>45458.300799999997</v>
      </c>
      <c r="H156" s="3">
        <v>70660.039099999995</v>
      </c>
      <c r="I156" t="e">
        <f t="shared" si="11"/>
        <v>#DIV/0!</v>
      </c>
      <c r="J156">
        <f t="shared" si="14"/>
        <v>22869.799667957941</v>
      </c>
      <c r="K156">
        <f t="shared" si="15"/>
        <v>33992.417905421658</v>
      </c>
      <c r="L156" t="e">
        <f t="shared" si="12"/>
        <v>#DIV/0!</v>
      </c>
      <c r="M156">
        <f t="shared" si="13"/>
        <v>2.1078029096605722E-2</v>
      </c>
    </row>
    <row r="157" spans="1:13" x14ac:dyDescent="0.45">
      <c r="A157" s="1" t="s">
        <v>156</v>
      </c>
      <c r="B157" s="1"/>
      <c r="C157" s="3">
        <v>7.4916999999999998</v>
      </c>
      <c r="D157" s="3">
        <v>8.8816000000000006</v>
      </c>
      <c r="E157" s="3">
        <v>10.0364</v>
      </c>
      <c r="F157" s="3">
        <v>121910.6875</v>
      </c>
      <c r="G157" s="3">
        <v>355535.59379999997</v>
      </c>
      <c r="H157" s="3">
        <v>532053.6875</v>
      </c>
      <c r="I157">
        <f t="shared" si="11"/>
        <v>16272.76686199394</v>
      </c>
      <c r="J157">
        <f t="shared" si="14"/>
        <v>40030.579377589616</v>
      </c>
      <c r="K157">
        <f t="shared" si="15"/>
        <v>53012.403600892751</v>
      </c>
      <c r="L157">
        <f t="shared" si="12"/>
        <v>2.0219201496014527E-2</v>
      </c>
      <c r="M157">
        <f t="shared" si="13"/>
        <v>1.4893090472813952E-2</v>
      </c>
    </row>
    <row r="158" spans="1:13" x14ac:dyDescent="0.45">
      <c r="A158" s="1" t="s">
        <v>157</v>
      </c>
      <c r="B158" s="1"/>
      <c r="C158" s="3"/>
      <c r="D158" s="3">
        <v>1.0054000000000001</v>
      </c>
      <c r="E158" s="3">
        <v>1.1480999999999999</v>
      </c>
      <c r="F158" s="3"/>
      <c r="G158" s="3">
        <v>5523.6597000000002</v>
      </c>
      <c r="H158" s="3">
        <v>9667.1034999999993</v>
      </c>
      <c r="I158" t="e">
        <f t="shared" si="11"/>
        <v>#DIV/0!</v>
      </c>
      <c r="J158">
        <f t="shared" si="14"/>
        <v>5493.9921424308732</v>
      </c>
      <c r="K158">
        <f t="shared" si="15"/>
        <v>8420.0884069331933</v>
      </c>
      <c r="L158" t="e">
        <f t="shared" si="12"/>
        <v>#DIV/0!</v>
      </c>
      <c r="M158">
        <f t="shared" si="13"/>
        <v>2.2726245112034471E-2</v>
      </c>
    </row>
    <row r="159" spans="1:13" x14ac:dyDescent="0.45">
      <c r="A159" s="1" t="s">
        <v>158</v>
      </c>
      <c r="B159" s="1"/>
      <c r="C159" s="3"/>
      <c r="D159" s="3"/>
      <c r="E159" s="3">
        <v>4.24E-2</v>
      </c>
      <c r="F159" s="3"/>
      <c r="G159" s="3"/>
      <c r="H159" s="3">
        <v>657.22170000000006</v>
      </c>
      <c r="I159" t="e">
        <f t="shared" si="11"/>
        <v>#DIV/0!</v>
      </c>
      <c r="J159" t="e">
        <f t="shared" si="14"/>
        <v>#DIV/0!</v>
      </c>
      <c r="K159">
        <f t="shared" si="15"/>
        <v>15500.511792452831</v>
      </c>
      <c r="L159" t="e">
        <f t="shared" si="12"/>
        <v>#DIV/0!</v>
      </c>
      <c r="M159" t="e">
        <f t="shared" si="13"/>
        <v>#DIV/0!</v>
      </c>
    </row>
    <row r="160" spans="1:13" x14ac:dyDescent="0.45">
      <c r="A160" s="1" t="s">
        <v>159</v>
      </c>
      <c r="B160" s="1"/>
      <c r="C160" s="3">
        <v>4.0300000000000002E-2</v>
      </c>
      <c r="D160" s="3">
        <v>8.1000000000000003E-2</v>
      </c>
      <c r="E160" s="3">
        <v>9.7699999999999995E-2</v>
      </c>
      <c r="F160" s="3">
        <v>159.928</v>
      </c>
      <c r="G160" s="3">
        <v>1319.692</v>
      </c>
      <c r="H160" s="3">
        <v>2438.3126999999999</v>
      </c>
      <c r="I160">
        <f t="shared" si="11"/>
        <v>3968.4367245657563</v>
      </c>
      <c r="J160">
        <f t="shared" si="14"/>
        <v>16292.493827160493</v>
      </c>
      <c r="K160">
        <f t="shared" si="15"/>
        <v>24957.141248720574</v>
      </c>
      <c r="L160">
        <f t="shared" si="12"/>
        <v>3.1656635558110935E-2</v>
      </c>
      <c r="M160">
        <f t="shared" si="13"/>
        <v>2.2698811274623587E-2</v>
      </c>
    </row>
    <row r="161" spans="1:13" x14ac:dyDescent="0.45">
      <c r="A161" s="1" t="s">
        <v>160</v>
      </c>
      <c r="B161" s="1"/>
      <c r="C161" s="3">
        <v>4.5994999999999999</v>
      </c>
      <c r="D161" s="3">
        <v>16.410799999999998</v>
      </c>
      <c r="E161" s="3">
        <v>17.0701</v>
      </c>
      <c r="F161" s="3">
        <v>20519.195299999999</v>
      </c>
      <c r="G161" s="3">
        <v>162993.64060000001</v>
      </c>
      <c r="H161" s="3">
        <v>122563.8594</v>
      </c>
      <c r="I161">
        <f t="shared" si="11"/>
        <v>4461.1795412544843</v>
      </c>
      <c r="J161">
        <f t="shared" si="14"/>
        <v>9932.0959733833843</v>
      </c>
      <c r="K161">
        <f t="shared" si="15"/>
        <v>7180.0317162758274</v>
      </c>
      <c r="L161">
        <f t="shared" si="12"/>
        <v>8.0985596922036329E-3</v>
      </c>
      <c r="M161">
        <f t="shared" si="13"/>
        <v>-1.6932259261375315E-2</v>
      </c>
    </row>
    <row r="162" spans="1:13" x14ac:dyDescent="0.45">
      <c r="A162" s="1" t="s">
        <v>161</v>
      </c>
      <c r="B162" s="1"/>
      <c r="C162" s="3"/>
      <c r="D162" s="3">
        <v>2.0199999999999999E-2</v>
      </c>
      <c r="E162" s="3">
        <v>3.8199999999999998E-2</v>
      </c>
      <c r="F162" s="3"/>
      <c r="G162" s="3">
        <v>258.21440000000001</v>
      </c>
      <c r="H162" s="3">
        <v>618.1173</v>
      </c>
      <c r="I162" t="e">
        <f t="shared" si="11"/>
        <v>#DIV/0!</v>
      </c>
      <c r="J162">
        <f t="shared" si="14"/>
        <v>12782.891089108913</v>
      </c>
      <c r="K162">
        <f t="shared" si="15"/>
        <v>16181.081151832461</v>
      </c>
      <c r="L162" t="e">
        <f t="shared" si="12"/>
        <v>#DIV/0!</v>
      </c>
      <c r="M162">
        <f t="shared" si="13"/>
        <v>1.2484397309578288E-2</v>
      </c>
    </row>
    <row r="163" spans="1:13" x14ac:dyDescent="0.45">
      <c r="A163" s="1" t="s">
        <v>162</v>
      </c>
      <c r="B163" s="1"/>
      <c r="C163" s="3">
        <v>2.9740000000000002</v>
      </c>
      <c r="D163" s="3">
        <v>8.3557000000000006</v>
      </c>
      <c r="E163" s="3">
        <v>15.946899999999999</v>
      </c>
      <c r="F163" s="3">
        <v>3563.0805999999998</v>
      </c>
      <c r="G163" s="3">
        <v>7058.1288999999997</v>
      </c>
      <c r="H163" s="3">
        <v>24979.357400000001</v>
      </c>
      <c r="I163">
        <f t="shared" si="11"/>
        <v>1198.0768661735035</v>
      </c>
      <c r="J163">
        <f t="shared" si="14"/>
        <v>844.70827100063423</v>
      </c>
      <c r="K163">
        <f t="shared" si="15"/>
        <v>1566.408355228916</v>
      </c>
      <c r="L163">
        <f t="shared" si="12"/>
        <v>4.5538572174803615E-3</v>
      </c>
      <c r="M163">
        <f t="shared" si="13"/>
        <v>3.3036572482139093E-2</v>
      </c>
    </row>
    <row r="164" spans="1:13" x14ac:dyDescent="0.45">
      <c r="A164" s="1" t="s">
        <v>163</v>
      </c>
      <c r="B164" s="1"/>
      <c r="C164" s="3">
        <v>1.5681</v>
      </c>
      <c r="D164" s="3">
        <v>4.9244000000000003</v>
      </c>
      <c r="E164" s="3">
        <v>8.0823999999999998</v>
      </c>
      <c r="F164" s="3">
        <v>1788.5515</v>
      </c>
      <c r="G164" s="3">
        <v>6351.3184000000001</v>
      </c>
      <c r="H164" s="3">
        <v>17448.5645</v>
      </c>
      <c r="I164">
        <f t="shared" si="11"/>
        <v>1140.5851029908806</v>
      </c>
      <c r="J164">
        <f t="shared" si="14"/>
        <v>1289.7649256762245</v>
      </c>
      <c r="K164">
        <f t="shared" si="15"/>
        <v>2158.8345664654066</v>
      </c>
      <c r="L164">
        <f t="shared" si="12"/>
        <v>1.087270224858905E-2</v>
      </c>
      <c r="M164">
        <f t="shared" si="13"/>
        <v>2.7481822579120907E-2</v>
      </c>
    </row>
    <row r="165" spans="1:13" x14ac:dyDescent="0.45">
      <c r="A165" s="1" t="s">
        <v>164</v>
      </c>
      <c r="B165" s="1"/>
      <c r="C165" s="3">
        <v>27.3597</v>
      </c>
      <c r="D165" s="3">
        <v>62.952599999999997</v>
      </c>
      <c r="E165" s="3">
        <v>69.625600000000006</v>
      </c>
      <c r="F165" s="3">
        <v>33348.660199999998</v>
      </c>
      <c r="G165" s="3">
        <v>592014</v>
      </c>
      <c r="H165" s="3">
        <v>1229521.375</v>
      </c>
      <c r="I165">
        <f t="shared" si="11"/>
        <v>1218.8971443400328</v>
      </c>
      <c r="J165">
        <f t="shared" si="14"/>
        <v>9404.1231021435178</v>
      </c>
      <c r="K165">
        <f t="shared" si="15"/>
        <v>17659.041717414282</v>
      </c>
      <c r="L165">
        <f t="shared" si="12"/>
        <v>4.6352382069719811E-2</v>
      </c>
      <c r="M165">
        <f t="shared" si="13"/>
        <v>3.3719169141451344E-2</v>
      </c>
    </row>
    <row r="166" spans="1:13" x14ac:dyDescent="0.45">
      <c r="A166" s="1" t="s">
        <v>165</v>
      </c>
      <c r="B166" s="1"/>
      <c r="C166" s="3"/>
      <c r="D166" s="3">
        <v>6.2163000000000004</v>
      </c>
      <c r="E166" s="3">
        <v>9.3209999999999997</v>
      </c>
      <c r="F166" s="3"/>
      <c r="G166" s="3">
        <v>10152.406300000001</v>
      </c>
      <c r="H166" s="3">
        <v>40990.945299999999</v>
      </c>
      <c r="I166" t="e">
        <f t="shared" si="11"/>
        <v>#DIV/0!</v>
      </c>
      <c r="J166">
        <f t="shared" si="14"/>
        <v>1633.1911748146003</v>
      </c>
      <c r="K166">
        <f t="shared" si="15"/>
        <v>4397.6982405321314</v>
      </c>
      <c r="L166" t="e">
        <f t="shared" si="12"/>
        <v>#DIV/0!</v>
      </c>
      <c r="M166">
        <f t="shared" si="13"/>
        <v>5.3516871054910542E-2</v>
      </c>
    </row>
    <row r="167" spans="1:13" x14ac:dyDescent="0.45">
      <c r="A167" s="1" t="s">
        <v>166</v>
      </c>
      <c r="B167" s="1"/>
      <c r="C167" s="3"/>
      <c r="D167" s="3">
        <v>4.5160999999999998</v>
      </c>
      <c r="E167" s="3">
        <v>5.9420999999999999</v>
      </c>
      <c r="F167" s="3"/>
      <c r="G167" s="3">
        <v>36197.835899999998</v>
      </c>
      <c r="H167" s="3">
        <v>154983.45310000001</v>
      </c>
      <c r="I167" t="e">
        <f t="shared" si="11"/>
        <v>#DIV/0!</v>
      </c>
      <c r="J167">
        <f t="shared" si="14"/>
        <v>8015.2866189854076</v>
      </c>
      <c r="K167">
        <f t="shared" si="15"/>
        <v>26082.269416536245</v>
      </c>
      <c r="L167" t="e">
        <f t="shared" si="12"/>
        <v>#DIV/0!</v>
      </c>
      <c r="M167">
        <f t="shared" si="13"/>
        <v>6.4069037783226035E-2</v>
      </c>
    </row>
    <row r="168" spans="1:13" x14ac:dyDescent="0.45">
      <c r="A168" s="1" t="s">
        <v>167</v>
      </c>
      <c r="B168" s="1"/>
      <c r="C168" s="3">
        <v>0.8327</v>
      </c>
      <c r="D168" s="3">
        <v>1.2672000000000001</v>
      </c>
      <c r="E168" s="3">
        <v>1.395</v>
      </c>
      <c r="F168" s="3">
        <v>6487.7856000000002</v>
      </c>
      <c r="G168" s="3">
        <v>21261.964800000002</v>
      </c>
      <c r="H168" s="3">
        <v>35696.332000000002</v>
      </c>
      <c r="I168">
        <f t="shared" si="11"/>
        <v>7791.2640807013331</v>
      </c>
      <c r="J168">
        <f t="shared" si="14"/>
        <v>16778.696969696968</v>
      </c>
      <c r="K168">
        <f t="shared" si="15"/>
        <v>25588.768458781364</v>
      </c>
      <c r="L168">
        <f t="shared" si="12"/>
        <v>2.0359576995850226E-2</v>
      </c>
      <c r="M168">
        <f t="shared" si="13"/>
        <v>2.2461356102786878E-2</v>
      </c>
    </row>
    <row r="169" spans="1:13" x14ac:dyDescent="0.45">
      <c r="A169" s="1" t="s">
        <v>168</v>
      </c>
      <c r="B169" s="1"/>
      <c r="C169" s="3">
        <v>4.1132</v>
      </c>
      <c r="D169" s="3">
        <v>9.7083999999999993</v>
      </c>
      <c r="E169" s="3">
        <v>11.694699999999999</v>
      </c>
      <c r="F169" s="3">
        <v>8438.1581999999999</v>
      </c>
      <c r="G169" s="3">
        <v>73200.734400000001</v>
      </c>
      <c r="H169" s="3">
        <v>129398.25</v>
      </c>
      <c r="I169">
        <f t="shared" si="11"/>
        <v>2051.4825926286103</v>
      </c>
      <c r="J169">
        <f t="shared" si="14"/>
        <v>7539.9380330435506</v>
      </c>
      <c r="K169">
        <f t="shared" si="15"/>
        <v>11064.691697948645</v>
      </c>
      <c r="L169">
        <f t="shared" si="12"/>
        <v>2.8974474286217689E-2</v>
      </c>
      <c r="M169">
        <f t="shared" si="13"/>
        <v>2.0391713758249663E-2</v>
      </c>
    </row>
    <row r="170" spans="1:13" x14ac:dyDescent="0.45">
      <c r="A170" s="1" t="s">
        <v>169</v>
      </c>
      <c r="B170" s="1"/>
      <c r="C170" s="3">
        <v>27.521100000000001</v>
      </c>
      <c r="D170" s="3">
        <v>63.240200000000002</v>
      </c>
      <c r="E170" s="3">
        <v>83.429599999999994</v>
      </c>
      <c r="F170" s="3">
        <v>150595.48439999999</v>
      </c>
      <c r="G170" s="3">
        <v>930475.6875</v>
      </c>
      <c r="H170" s="3">
        <v>2242847</v>
      </c>
      <c r="I170">
        <f t="shared" si="11"/>
        <v>5472.000915661074</v>
      </c>
      <c r="J170">
        <f t="shared" si="14"/>
        <v>14713.357761360654</v>
      </c>
      <c r="K170">
        <f t="shared" si="15"/>
        <v>26883.108632907268</v>
      </c>
      <c r="L170">
        <f t="shared" si="12"/>
        <v>2.7347844332815674E-2</v>
      </c>
      <c r="M170">
        <f t="shared" si="13"/>
        <v>3.2231830125593053E-2</v>
      </c>
    </row>
    <row r="171" spans="1:13" x14ac:dyDescent="0.45">
      <c r="A171" s="1" t="s">
        <v>170</v>
      </c>
      <c r="B171" s="1"/>
      <c r="C171" s="3">
        <v>10.6677</v>
      </c>
      <c r="D171" s="3">
        <v>22.1845</v>
      </c>
      <c r="E171" s="3">
        <v>23.596</v>
      </c>
      <c r="F171" s="3">
        <v>19255.375</v>
      </c>
      <c r="G171" s="3">
        <v>581268.4375</v>
      </c>
      <c r="H171" s="3">
        <v>1127988.75</v>
      </c>
      <c r="I171">
        <f t="shared" si="11"/>
        <v>1805.0165452721767</v>
      </c>
      <c r="J171">
        <f t="shared" si="14"/>
        <v>26201.556830219299</v>
      </c>
      <c r="K171">
        <f t="shared" si="15"/>
        <v>47804.235887438546</v>
      </c>
      <c r="L171">
        <f t="shared" si="12"/>
        <v>5.7105647735028686E-2</v>
      </c>
      <c r="M171">
        <f t="shared" si="13"/>
        <v>3.2153222546059235E-2</v>
      </c>
    </row>
    <row r="172" spans="1:13" x14ac:dyDescent="0.45">
      <c r="A172" s="1" t="s">
        <v>171</v>
      </c>
      <c r="B172" s="1"/>
      <c r="C172" s="3">
        <v>10.058</v>
      </c>
      <c r="D172" s="3">
        <v>32.583199999999998</v>
      </c>
      <c r="E172" s="3">
        <v>56.379899999999999</v>
      </c>
      <c r="F172" s="3">
        <v>8758.7821999999996</v>
      </c>
      <c r="G172" s="3">
        <v>41320.210899999998</v>
      </c>
      <c r="H172" s="3">
        <v>139809.57810000001</v>
      </c>
      <c r="I172">
        <f t="shared" si="11"/>
        <v>870.82742095844105</v>
      </c>
      <c r="J172">
        <f t="shared" si="14"/>
        <v>1268.1446543003756</v>
      </c>
      <c r="K172">
        <f t="shared" si="15"/>
        <v>2479.7769790297607</v>
      </c>
      <c r="L172">
        <f t="shared" si="12"/>
        <v>1.7895184515570595E-2</v>
      </c>
      <c r="M172">
        <f t="shared" si="13"/>
        <v>3.5925735923741042E-2</v>
      </c>
    </row>
    <row r="173" spans="1:13" x14ac:dyDescent="0.45">
      <c r="A173" s="1" t="s">
        <v>172</v>
      </c>
      <c r="B173" s="1"/>
      <c r="C173" s="3">
        <v>7.0103999999999997</v>
      </c>
      <c r="D173" s="3">
        <v>23.650200000000002</v>
      </c>
      <c r="E173" s="3">
        <v>44.269599999999997</v>
      </c>
      <c r="F173" s="3">
        <v>6666.7808000000005</v>
      </c>
      <c r="G173" s="3">
        <v>27532.980500000001</v>
      </c>
      <c r="H173" s="3">
        <v>91112.75</v>
      </c>
      <c r="I173">
        <f t="shared" si="11"/>
        <v>950.98436608467432</v>
      </c>
      <c r="J173">
        <f t="shared" si="14"/>
        <v>1164.1753769524148</v>
      </c>
      <c r="K173">
        <f t="shared" si="15"/>
        <v>2058.1335724741134</v>
      </c>
      <c r="L173">
        <f t="shared" si="12"/>
        <v>1.3171707828590673E-2</v>
      </c>
      <c r="M173">
        <f t="shared" si="13"/>
        <v>3.0442956801186138E-2</v>
      </c>
    </row>
    <row r="174" spans="1:13" x14ac:dyDescent="0.45">
      <c r="A174" s="1" t="s">
        <v>173</v>
      </c>
      <c r="B174" s="1"/>
      <c r="C174" s="3"/>
      <c r="D174" s="3">
        <v>48.838099999999997</v>
      </c>
      <c r="E174" s="3">
        <v>43.993600000000001</v>
      </c>
      <c r="F174" s="3"/>
      <c r="G174" s="3">
        <v>391078.09379999997</v>
      </c>
      <c r="H174" s="3">
        <v>574202.5625</v>
      </c>
      <c r="I174" t="e">
        <f t="shared" si="11"/>
        <v>#DIV/0!</v>
      </c>
      <c r="J174">
        <f t="shared" si="14"/>
        <v>8007.6434955495815</v>
      </c>
      <c r="K174">
        <f t="shared" si="15"/>
        <v>13051.956705066192</v>
      </c>
      <c r="L174" t="e">
        <f t="shared" si="12"/>
        <v>#DIV/0!</v>
      </c>
      <c r="M174">
        <f t="shared" si="13"/>
        <v>2.6046135986260266E-2</v>
      </c>
    </row>
    <row r="175" spans="1:13" x14ac:dyDescent="0.45">
      <c r="A175" s="1" t="s">
        <v>174</v>
      </c>
      <c r="B175" s="1"/>
      <c r="C175" s="3">
        <v>2.5185</v>
      </c>
      <c r="D175" s="3">
        <v>3.3197000000000001</v>
      </c>
      <c r="E175" s="3">
        <v>3.4617</v>
      </c>
      <c r="F175" s="3">
        <v>19347.154299999998</v>
      </c>
      <c r="G175" s="3">
        <v>42671.351600000002</v>
      </c>
      <c r="H175" s="3">
        <v>72155.945300000007</v>
      </c>
      <c r="I175">
        <f t="shared" si="11"/>
        <v>7682.0148104030168</v>
      </c>
      <c r="J175">
        <f t="shared" si="14"/>
        <v>12853.978251046781</v>
      </c>
      <c r="K175">
        <f t="shared" si="15"/>
        <v>20844.078140797876</v>
      </c>
      <c r="L175">
        <f t="shared" si="12"/>
        <v>1.7062368508274472E-2</v>
      </c>
      <c r="M175">
        <f t="shared" si="13"/>
        <v>2.5769410422126438E-2</v>
      </c>
    </row>
    <row r="176" spans="1:13" x14ac:dyDescent="0.45">
      <c r="A176" s="1" t="s">
        <v>175</v>
      </c>
      <c r="B176" s="1"/>
      <c r="C176" s="3">
        <v>184.6019</v>
      </c>
      <c r="D176" s="3">
        <v>281.71089999999998</v>
      </c>
      <c r="E176" s="3">
        <v>329.06490000000002</v>
      </c>
      <c r="F176" s="3">
        <v>3510944.75</v>
      </c>
      <c r="G176" s="3">
        <v>14143361</v>
      </c>
      <c r="H176" s="3">
        <v>20563592</v>
      </c>
      <c r="I176">
        <f t="shared" si="11"/>
        <v>19019.006575771971</v>
      </c>
      <c r="J176">
        <f t="shared" si="14"/>
        <v>50205.23167545168</v>
      </c>
      <c r="K176">
        <f t="shared" si="15"/>
        <v>62490.991898558612</v>
      </c>
      <c r="L176">
        <f t="shared" si="12"/>
        <v>2.0367068619823181E-2</v>
      </c>
      <c r="M176">
        <f t="shared" si="13"/>
        <v>1.1587844813178316E-2</v>
      </c>
    </row>
    <row r="177" spans="1:13" x14ac:dyDescent="0.45">
      <c r="A177" s="1" t="s">
        <v>176</v>
      </c>
      <c r="B177" s="1"/>
      <c r="C177" s="3"/>
      <c r="D177" s="3">
        <v>24.77</v>
      </c>
      <c r="E177" s="3">
        <v>32.981699999999996</v>
      </c>
      <c r="F177" s="3"/>
      <c r="G177" s="3">
        <v>113985.77340000001</v>
      </c>
      <c r="H177" s="3">
        <v>395524.28129999997</v>
      </c>
      <c r="I177" t="e">
        <f t="shared" si="11"/>
        <v>#DIV/0!</v>
      </c>
      <c r="J177">
        <f t="shared" si="14"/>
        <v>4601.7671941865165</v>
      </c>
      <c r="K177">
        <f t="shared" si="15"/>
        <v>11992.234520961625</v>
      </c>
      <c r="L177" t="e">
        <f t="shared" si="12"/>
        <v>#DIV/0!</v>
      </c>
      <c r="M177">
        <f t="shared" si="13"/>
        <v>5.1703806405780428E-2</v>
      </c>
    </row>
    <row r="178" spans="1:13" x14ac:dyDescent="0.45">
      <c r="A178" s="1" t="s">
        <v>177</v>
      </c>
      <c r="B178" s="1"/>
      <c r="C178" s="3"/>
      <c r="D178" s="3">
        <v>0.10780000000000001</v>
      </c>
      <c r="E178" s="3">
        <v>0.1106</v>
      </c>
      <c r="F178" s="3"/>
      <c r="G178" s="3">
        <v>787.97810000000004</v>
      </c>
      <c r="H178" s="3">
        <v>1165.5897</v>
      </c>
      <c r="I178" t="e">
        <f t="shared" si="11"/>
        <v>#DIV/0!</v>
      </c>
      <c r="J178">
        <f t="shared" si="14"/>
        <v>7309.6298701298701</v>
      </c>
      <c r="K178">
        <f t="shared" si="15"/>
        <v>10538.785714285714</v>
      </c>
      <c r="L178" t="e">
        <f t="shared" si="12"/>
        <v>#DIV/0!</v>
      </c>
      <c r="M178">
        <f t="shared" si="13"/>
        <v>1.9442897814289095E-2</v>
      </c>
    </row>
    <row r="179" spans="1:13" x14ac:dyDescent="0.45">
      <c r="A179" s="1" t="s">
        <v>178</v>
      </c>
      <c r="B179" s="1"/>
      <c r="C179" s="3">
        <v>8.0048999999999992</v>
      </c>
      <c r="D179" s="3">
        <v>24.192399999999999</v>
      </c>
      <c r="E179" s="3">
        <v>28.515799999999999</v>
      </c>
      <c r="F179" s="3">
        <v>3518.7017000000001</v>
      </c>
      <c r="G179" s="3">
        <v>13345.593800000001</v>
      </c>
      <c r="H179" s="3">
        <v>6670.9561000000003</v>
      </c>
      <c r="I179">
        <f t="shared" si="11"/>
        <v>439.56847680795516</v>
      </c>
      <c r="J179">
        <f t="shared" si="14"/>
        <v>551.64406177146543</v>
      </c>
      <c r="K179">
        <f t="shared" si="15"/>
        <v>233.93894262128367</v>
      </c>
      <c r="L179">
        <f t="shared" si="12"/>
        <v>-1.0633456711138134E-2</v>
      </c>
      <c r="M179">
        <f t="shared" si="13"/>
        <v>-4.4145548354034503E-2</v>
      </c>
    </row>
    <row r="180" spans="1:13" x14ac:dyDescent="0.45">
      <c r="A180" s="1" t="s">
        <v>179</v>
      </c>
      <c r="B180" s="1"/>
      <c r="C180" s="3"/>
      <c r="D180" s="3">
        <v>2.0299999999999999E-2</v>
      </c>
      <c r="E180" s="3">
        <v>0.03</v>
      </c>
      <c r="F180" s="3"/>
      <c r="G180" s="3">
        <v>960.48659999999995</v>
      </c>
      <c r="H180" s="3">
        <v>1118.1772000000001</v>
      </c>
      <c r="I180" t="e">
        <f t="shared" si="11"/>
        <v>#DIV/0!</v>
      </c>
      <c r="J180">
        <f t="shared" si="14"/>
        <v>47314.610837438428</v>
      </c>
      <c r="K180">
        <f t="shared" si="15"/>
        <v>37272.573333333341</v>
      </c>
      <c r="L180" t="e">
        <f t="shared" si="12"/>
        <v>#DIV/0!</v>
      </c>
      <c r="M180">
        <f t="shared" si="13"/>
        <v>-1.2477366565767922E-2</v>
      </c>
    </row>
    <row r="181" spans="1:13" x14ac:dyDescent="0.45">
      <c r="A181" s="1" t="s">
        <v>180</v>
      </c>
      <c r="B181" s="1"/>
      <c r="C181" s="3"/>
      <c r="D181" s="3">
        <v>79.910399999999996</v>
      </c>
      <c r="E181" s="3">
        <v>96.462100000000007</v>
      </c>
      <c r="F181" s="3"/>
      <c r="G181" s="3">
        <v>221788.625</v>
      </c>
      <c r="H181" s="3">
        <v>741653.5625</v>
      </c>
      <c r="I181" t="e">
        <f t="shared" si="11"/>
        <v>#DIV/0!</v>
      </c>
      <c r="J181">
        <f t="shared" si="14"/>
        <v>2775.4663347949704</v>
      </c>
      <c r="K181">
        <f t="shared" si="15"/>
        <v>7688.5487927382874</v>
      </c>
      <c r="L181" t="e">
        <f t="shared" si="12"/>
        <v>#DIV/0!</v>
      </c>
      <c r="M181">
        <f t="shared" si="13"/>
        <v>5.509099483456148E-2</v>
      </c>
    </row>
    <row r="182" spans="1:13" x14ac:dyDescent="0.45">
      <c r="A182" s="1" t="s">
        <v>181</v>
      </c>
      <c r="B182" s="1"/>
      <c r="C182" s="3"/>
      <c r="D182" s="3">
        <v>17.409099999999999</v>
      </c>
      <c r="E182" s="3">
        <v>29.161899999999999</v>
      </c>
      <c r="F182" s="3"/>
      <c r="G182" s="3">
        <v>59023.511700000003</v>
      </c>
      <c r="H182" s="3">
        <v>40069.593800000002</v>
      </c>
      <c r="I182" t="e">
        <f t="shared" si="11"/>
        <v>#DIV/0!</v>
      </c>
      <c r="J182">
        <f t="shared" si="14"/>
        <v>3390.3827136382702</v>
      </c>
      <c r="K182">
        <f t="shared" si="15"/>
        <v>1374.0392018352716</v>
      </c>
      <c r="L182" t="e">
        <f t="shared" si="12"/>
        <v>#DIV/0!</v>
      </c>
      <c r="M182">
        <f t="shared" si="13"/>
        <v>-4.6424061261885696E-2</v>
      </c>
    </row>
    <row r="183" spans="1:13" x14ac:dyDescent="0.45">
      <c r="A183" s="1" t="s">
        <v>182</v>
      </c>
      <c r="B183" s="1"/>
      <c r="C183" s="3">
        <v>16.903400000000001</v>
      </c>
      <c r="D183" s="3">
        <v>44.967700000000001</v>
      </c>
      <c r="E183" s="3">
        <v>58.558300000000003</v>
      </c>
      <c r="F183" s="3">
        <v>134599.6563</v>
      </c>
      <c r="G183" s="3">
        <v>454861.5625</v>
      </c>
      <c r="H183" s="3">
        <v>732851.625</v>
      </c>
      <c r="I183">
        <f t="shared" si="11"/>
        <v>7962.8747056805132</v>
      </c>
      <c r="J183">
        <f t="shared" si="14"/>
        <v>10115.295256372907</v>
      </c>
      <c r="K183">
        <f t="shared" si="15"/>
        <v>12514.906085046867</v>
      </c>
      <c r="L183">
        <f t="shared" si="12"/>
        <v>7.6926638020626825E-3</v>
      </c>
      <c r="M183">
        <f t="shared" si="13"/>
        <v>1.1266774227052467E-2</v>
      </c>
    </row>
    <row r="184" spans="1:13" x14ac:dyDescent="0.45">
      <c r="A184" s="1" t="s">
        <v>183</v>
      </c>
      <c r="B184" s="1"/>
      <c r="C184" s="3">
        <v>3.1985000000000001</v>
      </c>
      <c r="D184" s="3">
        <v>10.415900000000001</v>
      </c>
      <c r="E184" s="3">
        <v>17.861000000000001</v>
      </c>
      <c r="F184" s="3">
        <v>7668.0293000000001</v>
      </c>
      <c r="G184" s="3">
        <v>18828.769499999999</v>
      </c>
      <c r="H184" s="3">
        <v>56282.273399999998</v>
      </c>
      <c r="I184">
        <f t="shared" si="11"/>
        <v>2397.3829294982024</v>
      </c>
      <c r="J184">
        <f t="shared" si="14"/>
        <v>1807.6949183459901</v>
      </c>
      <c r="K184">
        <f t="shared" si="15"/>
        <v>3151.1266670399191</v>
      </c>
      <c r="L184">
        <f t="shared" si="12"/>
        <v>4.6443511220448652E-3</v>
      </c>
      <c r="M184">
        <f t="shared" si="13"/>
        <v>2.9679682439401667E-2</v>
      </c>
    </row>
    <row r="185" spans="1:13" x14ac:dyDescent="0.45">
      <c r="A185" s="1" t="s">
        <v>184</v>
      </c>
      <c r="B185" s="1"/>
      <c r="C185" s="3">
        <v>3.8471000000000002</v>
      </c>
      <c r="D185" s="3">
        <v>11.881500000000001</v>
      </c>
      <c r="E185" s="3">
        <v>14.6455</v>
      </c>
      <c r="F185" s="3">
        <v>5830.4722000000002</v>
      </c>
      <c r="G185" s="3">
        <v>21790.652300000002</v>
      </c>
      <c r="H185" s="3">
        <v>42694.070299999999</v>
      </c>
      <c r="I185">
        <f t="shared" si="11"/>
        <v>1515.5499467131085</v>
      </c>
      <c r="J185">
        <f t="shared" si="14"/>
        <v>1833.9984261246475</v>
      </c>
      <c r="K185">
        <f t="shared" si="15"/>
        <v>2915.1664538595473</v>
      </c>
      <c r="L185">
        <f t="shared" si="12"/>
        <v>1.1148954991307303E-2</v>
      </c>
      <c r="M185">
        <f t="shared" si="13"/>
        <v>2.4690861624913518E-2</v>
      </c>
    </row>
  </sheetData>
  <mergeCells count="3">
    <mergeCell ref="A1:A2"/>
    <mergeCell ref="C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03C3-33B7-4D31-8A19-076F7507A376}">
  <dimension ref="A1:P113"/>
  <sheetViews>
    <sheetView tabSelected="1" topLeftCell="A34" workbookViewId="0">
      <selection activeCell="D52" sqref="D52"/>
    </sheetView>
  </sheetViews>
  <sheetFormatPr defaultRowHeight="14.25" x14ac:dyDescent="0.45"/>
  <sheetData>
    <row r="1" spans="1:13" x14ac:dyDescent="0.45">
      <c r="B1" t="s">
        <v>185</v>
      </c>
      <c r="E1" t="s">
        <v>186</v>
      </c>
    </row>
    <row r="2" spans="1:13" x14ac:dyDescent="0.45">
      <c r="B2">
        <v>1960</v>
      </c>
      <c r="C2">
        <v>2000</v>
      </c>
      <c r="D2">
        <v>2019</v>
      </c>
      <c r="E2" t="s">
        <v>187</v>
      </c>
      <c r="F2" t="s">
        <v>188</v>
      </c>
      <c r="H2" t="s">
        <v>189</v>
      </c>
      <c r="J2" t="s">
        <v>187</v>
      </c>
    </row>
    <row r="3" spans="1:13" ht="14.65" thickBot="1" x14ac:dyDescent="0.5">
      <c r="A3" t="s">
        <v>7</v>
      </c>
      <c r="B3">
        <v>13158.081739731428</v>
      </c>
      <c r="C3">
        <v>18350.664685876083</v>
      </c>
      <c r="D3">
        <v>21785.47901216372</v>
      </c>
      <c r="E3">
        <v>8.5825101337348997E-3</v>
      </c>
      <c r="F3">
        <v>9.0713104045490045E-3</v>
      </c>
    </row>
    <row r="4" spans="1:13" x14ac:dyDescent="0.45">
      <c r="A4" t="s">
        <v>10</v>
      </c>
      <c r="B4">
        <v>17696.397449856733</v>
      </c>
      <c r="C4">
        <v>41458.739218804301</v>
      </c>
      <c r="D4">
        <v>52205.047374936519</v>
      </c>
      <c r="E4">
        <v>1.8505034749068283E-2</v>
      </c>
      <c r="F4">
        <v>1.2204425459765966E-2</v>
      </c>
      <c r="H4" s="7" t="s">
        <v>190</v>
      </c>
      <c r="I4" s="7"/>
    </row>
    <row r="5" spans="1:13" x14ac:dyDescent="0.45">
      <c r="A5" s="13" t="s">
        <v>11</v>
      </c>
      <c r="B5">
        <v>13843.302207561532</v>
      </c>
      <c r="C5">
        <v>44299.02145167486</v>
      </c>
      <c r="D5">
        <v>53234.839644448417</v>
      </c>
      <c r="E5">
        <v>2.3091585327341679E-2</v>
      </c>
      <c r="F5">
        <v>9.7179936162627989E-3</v>
      </c>
      <c r="H5" s="4" t="s">
        <v>191</v>
      </c>
      <c r="I5" s="4">
        <v>1.5132775176443599E-2</v>
      </c>
    </row>
    <row r="6" spans="1:13" x14ac:dyDescent="0.45">
      <c r="A6" t="s">
        <v>13</v>
      </c>
      <c r="B6">
        <v>697.95552279591539</v>
      </c>
      <c r="C6">
        <v>797.31822100989211</v>
      </c>
      <c r="D6">
        <v>802.27185055417772</v>
      </c>
      <c r="E6">
        <v>2.3636727481011199E-3</v>
      </c>
      <c r="F6">
        <v>3.2603437813150116E-4</v>
      </c>
      <c r="H6" s="4" t="s">
        <v>192</v>
      </c>
      <c r="I6" s="4">
        <v>2.2900088454078758E-4</v>
      </c>
    </row>
    <row r="7" spans="1:13" x14ac:dyDescent="0.45">
      <c r="A7" s="13" t="s">
        <v>14</v>
      </c>
      <c r="B7">
        <v>12673.348794083437</v>
      </c>
      <c r="C7">
        <v>38553.312225248003</v>
      </c>
      <c r="D7">
        <v>46285.503670066639</v>
      </c>
      <c r="E7">
        <v>2.2197482173478944E-2</v>
      </c>
      <c r="F7">
        <v>9.6667822824061389E-3</v>
      </c>
      <c r="H7" s="4" t="s">
        <v>193</v>
      </c>
      <c r="I7" s="4">
        <v>-8.943210116518472E-3</v>
      </c>
    </row>
    <row r="8" spans="1:13" x14ac:dyDescent="0.45">
      <c r="A8" t="s">
        <v>15</v>
      </c>
      <c r="B8">
        <v>1098.461174822726</v>
      </c>
      <c r="C8">
        <v>1779.7985289833966</v>
      </c>
      <c r="D8">
        <v>3315.929337694472</v>
      </c>
      <c r="E8">
        <v>1.8902321596529825E-2</v>
      </c>
      <c r="F8">
        <v>3.3291518006099086E-2</v>
      </c>
      <c r="H8" s="4" t="s">
        <v>194</v>
      </c>
      <c r="I8" s="4">
        <v>1.4245825456490445E-2</v>
      </c>
    </row>
    <row r="9" spans="1:13" ht="14.65" thickBot="1" x14ac:dyDescent="0.5">
      <c r="A9" t="s">
        <v>16</v>
      </c>
      <c r="B9">
        <v>744.54799325594468</v>
      </c>
      <c r="C9">
        <v>1217.5816814410875</v>
      </c>
      <c r="D9">
        <v>2045.3257551152972</v>
      </c>
      <c r="E9">
        <v>1.7275232757421266E-2</v>
      </c>
      <c r="F9">
        <v>2.7675540475651017E-2</v>
      </c>
      <c r="H9" s="5" t="s">
        <v>195</v>
      </c>
      <c r="I9" s="5">
        <v>111</v>
      </c>
    </row>
    <row r="10" spans="1:13" x14ac:dyDescent="0.45">
      <c r="A10" t="s">
        <v>17</v>
      </c>
      <c r="B10">
        <v>1521.3614470786347</v>
      </c>
      <c r="C10">
        <v>1884.4727047836445</v>
      </c>
      <c r="D10">
        <v>4698.8848099495726</v>
      </c>
      <c r="E10">
        <v>1.9297731090926362E-2</v>
      </c>
      <c r="F10">
        <v>4.9263271170562728E-2</v>
      </c>
    </row>
    <row r="11" spans="1:13" ht="14.65" thickBot="1" x14ac:dyDescent="0.5">
      <c r="A11" t="s">
        <v>25</v>
      </c>
      <c r="B11">
        <v>4499.0070845917189</v>
      </c>
      <c r="C11">
        <v>5256.823301616716</v>
      </c>
      <c r="D11">
        <v>8468.8331900183275</v>
      </c>
      <c r="E11">
        <v>1.0778624740136911E-2</v>
      </c>
      <c r="F11">
        <v>2.5415813137628529E-2</v>
      </c>
      <c r="H11" t="s">
        <v>196</v>
      </c>
    </row>
    <row r="12" spans="1:13" x14ac:dyDescent="0.45">
      <c r="A12" t="s">
        <v>26</v>
      </c>
      <c r="B12">
        <v>4007.6590605175752</v>
      </c>
      <c r="C12">
        <v>11475.357900295383</v>
      </c>
      <c r="D12">
        <v>14414.244051750893</v>
      </c>
      <c r="E12">
        <v>2.1932127204829399E-2</v>
      </c>
      <c r="F12">
        <v>1.2073084829683278E-2</v>
      </c>
      <c r="H12" s="6"/>
      <c r="I12" s="6" t="s">
        <v>201</v>
      </c>
      <c r="J12" s="6" t="s">
        <v>202</v>
      </c>
      <c r="K12" s="6" t="s">
        <v>203</v>
      </c>
      <c r="L12" s="6" t="s">
        <v>204</v>
      </c>
      <c r="M12" s="6" t="s">
        <v>205</v>
      </c>
    </row>
    <row r="13" spans="1:13" x14ac:dyDescent="0.45">
      <c r="A13" t="s">
        <v>27</v>
      </c>
      <c r="B13">
        <v>4143.8425806451614</v>
      </c>
      <c r="C13">
        <v>11329.919705340699</v>
      </c>
      <c r="D13">
        <v>11690.258536585368</v>
      </c>
      <c r="E13">
        <v>1.7733926209340334E-2</v>
      </c>
      <c r="F13">
        <v>1.6491954388555552E-3</v>
      </c>
      <c r="H13" s="4" t="s">
        <v>197</v>
      </c>
      <c r="I13" s="4">
        <v>1</v>
      </c>
      <c r="J13" s="4">
        <v>5.0668536560050104E-6</v>
      </c>
      <c r="K13" s="4">
        <v>5.0668536560050104E-6</v>
      </c>
      <c r="L13" s="4">
        <v>2.4966813837398776E-2</v>
      </c>
      <c r="M13" s="4">
        <v>0.87474213739476814</v>
      </c>
    </row>
    <row r="14" spans="1:13" x14ac:dyDescent="0.45">
      <c r="A14" t="s">
        <v>30</v>
      </c>
      <c r="B14">
        <v>822.38565274395955</v>
      </c>
      <c r="C14">
        <v>10746.980892107345</v>
      </c>
      <c r="D14">
        <v>16690.04110778313</v>
      </c>
      <c r="E14">
        <v>5.2347115372350927E-2</v>
      </c>
      <c r="F14">
        <v>2.343821136781532E-2</v>
      </c>
      <c r="H14" s="4" t="s">
        <v>198</v>
      </c>
      <c r="I14" s="4">
        <v>109</v>
      </c>
      <c r="J14" s="4">
        <v>2.2120846180110239E-2</v>
      </c>
      <c r="K14" s="4">
        <v>2.0294354293679117E-4</v>
      </c>
      <c r="L14" s="4"/>
      <c r="M14" s="4"/>
    </row>
    <row r="15" spans="1:13" ht="14.65" thickBot="1" x14ac:dyDescent="0.5">
      <c r="A15" t="s">
        <v>31</v>
      </c>
      <c r="B15">
        <v>1889.2777162629757</v>
      </c>
      <c r="C15">
        <v>1250.8867157455225</v>
      </c>
      <c r="D15">
        <v>960.6326392986598</v>
      </c>
      <c r="E15">
        <v>-1.1398233909264088E-2</v>
      </c>
      <c r="F15">
        <v>-1.3799475033671627E-2</v>
      </c>
      <c r="H15" s="5" t="s">
        <v>199</v>
      </c>
      <c r="I15" s="5">
        <v>110</v>
      </c>
      <c r="J15" s="5">
        <v>2.2125913033766244E-2</v>
      </c>
      <c r="K15" s="5"/>
      <c r="L15" s="5"/>
      <c r="M15" s="5"/>
    </row>
    <row r="16" spans="1:13" ht="14.65" thickBot="1" x14ac:dyDescent="0.5">
      <c r="A16" s="13" t="s">
        <v>32</v>
      </c>
      <c r="B16">
        <v>17293.200910240485</v>
      </c>
      <c r="C16">
        <v>42187.295674177141</v>
      </c>
      <c r="D16">
        <v>50097.224078479587</v>
      </c>
      <c r="E16">
        <v>1.8191488556188462E-2</v>
      </c>
      <c r="F16">
        <v>9.0855767882069838E-3</v>
      </c>
    </row>
    <row r="17" spans="1:16" x14ac:dyDescent="0.45">
      <c r="A17" s="13" t="s">
        <v>33</v>
      </c>
      <c r="B17">
        <v>34262.172576293087</v>
      </c>
      <c r="C17">
        <v>63663.364567877041</v>
      </c>
      <c r="D17">
        <v>75454.204204204201</v>
      </c>
      <c r="E17">
        <v>1.3471012123464465E-2</v>
      </c>
      <c r="F17">
        <v>8.9830885965789253E-3</v>
      </c>
      <c r="H17" s="6"/>
      <c r="I17" s="6" t="s">
        <v>206</v>
      </c>
      <c r="J17" s="6" t="s">
        <v>194</v>
      </c>
      <c r="K17" s="6" t="s">
        <v>207</v>
      </c>
      <c r="L17" s="6" t="s">
        <v>208</v>
      </c>
      <c r="M17" s="6" t="s">
        <v>209</v>
      </c>
      <c r="N17" s="6" t="s">
        <v>210</v>
      </c>
      <c r="O17" s="6" t="s">
        <v>211</v>
      </c>
      <c r="P17" s="6" t="s">
        <v>212</v>
      </c>
    </row>
    <row r="18" spans="1:16" x14ac:dyDescent="0.45">
      <c r="A18" t="s">
        <v>34</v>
      </c>
      <c r="B18">
        <v>5918.3736270672889</v>
      </c>
      <c r="C18">
        <v>14743.493723276673</v>
      </c>
      <c r="D18">
        <v>23407.356416209368</v>
      </c>
      <c r="E18">
        <v>2.3578573514583701E-2</v>
      </c>
      <c r="F18">
        <v>2.4627228288073733E-2</v>
      </c>
      <c r="H18" s="4" t="s">
        <v>200</v>
      </c>
      <c r="I18" s="4">
        <v>1.9854850793218456E-2</v>
      </c>
      <c r="J18" s="4">
        <v>1.8815240519490784E-3</v>
      </c>
      <c r="K18" s="4">
        <v>10.552536265827023</v>
      </c>
      <c r="L18" s="4">
        <v>2.3233881783589627E-18</v>
      </c>
      <c r="M18" s="4">
        <v>1.6125731291098122E-2</v>
      </c>
      <c r="N18" s="4">
        <v>2.3583970295338791E-2</v>
      </c>
      <c r="O18" s="4">
        <v>1.6125731291098122E-2</v>
      </c>
      <c r="P18" s="4">
        <v>2.3583970295338791E-2</v>
      </c>
    </row>
    <row r="19" spans="1:16" ht="14.65" thickBot="1" x14ac:dyDescent="0.5">
      <c r="A19" t="s">
        <v>35</v>
      </c>
      <c r="B19">
        <v>1050.9126034821245</v>
      </c>
      <c r="C19">
        <v>4619.9289481669375</v>
      </c>
      <c r="D19">
        <v>14348.472506696791</v>
      </c>
      <c r="E19">
        <v>4.5300938118628453E-2</v>
      </c>
      <c r="F19">
        <v>6.1460173499586324E-2</v>
      </c>
      <c r="H19" s="5" t="s">
        <v>213</v>
      </c>
      <c r="I19" s="5">
        <v>-3.7037882832527805E-8</v>
      </c>
      <c r="J19" s="5">
        <v>2.3440376981971949E-7</v>
      </c>
      <c r="K19" s="5">
        <v>-0.15800890429797154</v>
      </c>
      <c r="L19" s="5">
        <v>0.8747421373946519</v>
      </c>
      <c r="M19" s="5">
        <v>-5.016185340868863E-7</v>
      </c>
      <c r="N19" s="5">
        <v>4.2754276842183068E-7</v>
      </c>
      <c r="O19" s="5">
        <v>-5.016185340868863E-7</v>
      </c>
      <c r="P19" s="5">
        <v>4.2754276842183068E-7</v>
      </c>
    </row>
    <row r="20" spans="1:16" x14ac:dyDescent="0.45">
      <c r="A20" t="s">
        <v>36</v>
      </c>
      <c r="B20">
        <v>2506.6849009295502</v>
      </c>
      <c r="C20">
        <v>2788.8788066631423</v>
      </c>
      <c r="D20">
        <v>4908.4142243306824</v>
      </c>
      <c r="E20">
        <v>1.1454766690012885E-2</v>
      </c>
      <c r="F20">
        <v>3.0200274498500601E-2</v>
      </c>
    </row>
    <row r="21" spans="1:16" x14ac:dyDescent="0.45">
      <c r="A21" t="s">
        <v>37</v>
      </c>
      <c r="B21">
        <v>2572.0323019756447</v>
      </c>
      <c r="C21">
        <v>2724.8200581414085</v>
      </c>
      <c r="D21">
        <v>3612.9192546103786</v>
      </c>
      <c r="E21">
        <v>5.7762752882171142E-3</v>
      </c>
      <c r="F21">
        <v>1.4958870561945448E-2</v>
      </c>
    </row>
    <row r="22" spans="1:16" x14ac:dyDescent="0.45">
      <c r="A22" t="s">
        <v>38</v>
      </c>
      <c r="B22">
        <v>2778.1777703512944</v>
      </c>
      <c r="C22">
        <v>714.01264175536778</v>
      </c>
      <c r="D22">
        <v>1043.0910720746256</v>
      </c>
      <c r="E22">
        <v>-1.6466425684629971E-2</v>
      </c>
      <c r="F22">
        <v>2.0149960807276823E-2</v>
      </c>
    </row>
    <row r="23" spans="1:16" x14ac:dyDescent="0.45">
      <c r="A23" t="s">
        <v>39</v>
      </c>
      <c r="B23">
        <v>1983.0448760884128</v>
      </c>
      <c r="C23">
        <v>4044.030120867174</v>
      </c>
      <c r="D23">
        <v>3597.4722051853919</v>
      </c>
      <c r="E23">
        <v>1.0146005771224598E-2</v>
      </c>
      <c r="F23">
        <v>-6.1395133651050982E-3</v>
      </c>
    </row>
    <row r="24" spans="1:16" x14ac:dyDescent="0.45">
      <c r="A24" t="s">
        <v>40</v>
      </c>
      <c r="B24">
        <v>4118.7254960820001</v>
      </c>
      <c r="C24">
        <v>8577.5517284885191</v>
      </c>
      <c r="D24">
        <v>13817.892893042032</v>
      </c>
      <c r="E24">
        <v>2.0727494389563228E-2</v>
      </c>
      <c r="F24">
        <v>2.5413113619018102E-2</v>
      </c>
    </row>
    <row r="25" spans="1:16" x14ac:dyDescent="0.45">
      <c r="A25" t="s">
        <v>41</v>
      </c>
      <c r="B25">
        <v>1901.2756878158339</v>
      </c>
      <c r="C25">
        <v>2982.6948746312682</v>
      </c>
      <c r="D25">
        <v>3214.4818427547302</v>
      </c>
      <c r="E25">
        <v>8.9404256036216267E-3</v>
      </c>
      <c r="F25">
        <v>3.9466604666724692E-3</v>
      </c>
      <c r="H25" t="s">
        <v>189</v>
      </c>
      <c r="J25" t="s">
        <v>188</v>
      </c>
    </row>
    <row r="26" spans="1:16" ht="14.65" thickBot="1" x14ac:dyDescent="0.5">
      <c r="A26" t="s">
        <v>42</v>
      </c>
      <c r="B26">
        <v>1545.6520854526959</v>
      </c>
      <c r="C26">
        <v>4453.4787482484817</v>
      </c>
      <c r="D26">
        <v>7438.8099654482621</v>
      </c>
      <c r="E26">
        <v>2.6989400653039786E-2</v>
      </c>
      <c r="F26">
        <v>2.7369173663116531E-2</v>
      </c>
    </row>
    <row r="27" spans="1:16" x14ac:dyDescent="0.45">
      <c r="A27" t="s">
        <v>43</v>
      </c>
      <c r="B27">
        <v>5347.3460293564167</v>
      </c>
      <c r="C27">
        <v>11445.701897839694</v>
      </c>
      <c r="D27">
        <v>18630.374772168951</v>
      </c>
      <c r="E27">
        <v>2.1381183108232449E-2</v>
      </c>
      <c r="F27">
        <v>2.5972559368250714E-2</v>
      </c>
      <c r="H27" s="7" t="s">
        <v>190</v>
      </c>
      <c r="I27" s="7"/>
    </row>
    <row r="28" spans="1:16" x14ac:dyDescent="0.45">
      <c r="A28" t="s">
        <v>46</v>
      </c>
      <c r="B28">
        <v>3975.0950882712805</v>
      </c>
      <c r="C28">
        <v>27079.714821222606</v>
      </c>
      <c r="D28">
        <v>33042.944041450777</v>
      </c>
      <c r="E28">
        <v>3.6546201874018136E-2</v>
      </c>
      <c r="F28">
        <v>1.052995558208436E-2</v>
      </c>
      <c r="H28" s="4" t="s">
        <v>191</v>
      </c>
      <c r="I28" s="4">
        <v>0.25118792972076542</v>
      </c>
    </row>
    <row r="29" spans="1:16" x14ac:dyDescent="0.45">
      <c r="A29" s="13" t="s">
        <v>48</v>
      </c>
      <c r="B29">
        <v>14927.561229187815</v>
      </c>
      <c r="C29">
        <v>41903.03178466086</v>
      </c>
      <c r="D29">
        <v>51654.962462732139</v>
      </c>
      <c r="E29">
        <v>2.12631959174443E-2</v>
      </c>
      <c r="F29">
        <v>1.1072859911475108E-2</v>
      </c>
      <c r="H29" s="4" t="s">
        <v>192</v>
      </c>
      <c r="I29" s="4">
        <v>6.3095376037404186E-2</v>
      </c>
    </row>
    <row r="30" spans="1:16" x14ac:dyDescent="0.45">
      <c r="A30" s="13" t="s">
        <v>51</v>
      </c>
      <c r="B30">
        <v>16538.256081862412</v>
      </c>
      <c r="C30">
        <v>45378.835748520934</v>
      </c>
      <c r="D30">
        <v>53927.416673885549</v>
      </c>
      <c r="E30">
        <v>2.0235279734800216E-2</v>
      </c>
      <c r="F30">
        <v>9.1252351469819359E-3</v>
      </c>
      <c r="H30" s="4" t="s">
        <v>193</v>
      </c>
      <c r="I30" s="4">
        <v>5.4499920771692294E-2</v>
      </c>
    </row>
    <row r="31" spans="1:16" x14ac:dyDescent="0.45">
      <c r="A31" t="s">
        <v>52</v>
      </c>
      <c r="B31">
        <v>2937.4496152325337</v>
      </c>
      <c r="C31">
        <v>8981.4948709170967</v>
      </c>
      <c r="D31">
        <v>18216.582083992922</v>
      </c>
      <c r="E31">
        <v>3.1411913617864551E-2</v>
      </c>
      <c r="F31">
        <v>3.7920570772675077E-2</v>
      </c>
      <c r="H31" s="4" t="s">
        <v>194</v>
      </c>
      <c r="I31" s="4">
        <v>1.5830634150045941E-2</v>
      </c>
    </row>
    <row r="32" spans="1:16" ht="14.65" thickBot="1" x14ac:dyDescent="0.5">
      <c r="A32" t="s">
        <v>53</v>
      </c>
      <c r="B32">
        <v>6475.87814740262</v>
      </c>
      <c r="C32">
        <v>8466.3669553060008</v>
      </c>
      <c r="D32">
        <v>11187.977753053787</v>
      </c>
      <c r="E32">
        <v>9.3101155078625375E-3</v>
      </c>
      <c r="F32">
        <v>1.4778575929089488E-2</v>
      </c>
      <c r="H32" s="5" t="s">
        <v>195</v>
      </c>
      <c r="I32" s="5">
        <v>111</v>
      </c>
    </row>
    <row r="33" spans="1:16" x14ac:dyDescent="0.45">
      <c r="A33" t="s">
        <v>54</v>
      </c>
      <c r="B33">
        <v>4732.7702484100428</v>
      </c>
      <c r="C33">
        <v>8032.2062675950829</v>
      </c>
      <c r="D33">
        <v>11174.754260750446</v>
      </c>
      <c r="E33">
        <v>1.4668343694687724E-2</v>
      </c>
      <c r="F33">
        <v>1.7530727810695312E-2</v>
      </c>
    </row>
    <row r="34" spans="1:16" ht="14.65" thickBot="1" x14ac:dyDescent="0.5">
      <c r="A34" t="s">
        <v>55</v>
      </c>
      <c r="B34">
        <v>1876.8049249767196</v>
      </c>
      <c r="C34">
        <v>8380.3033417790666</v>
      </c>
      <c r="D34">
        <v>12826.111859871839</v>
      </c>
      <c r="E34">
        <v>3.3111150491538011E-2</v>
      </c>
      <c r="F34">
        <v>2.2652708329851334E-2</v>
      </c>
      <c r="H34" t="s">
        <v>196</v>
      </c>
    </row>
    <row r="35" spans="1:16" x14ac:dyDescent="0.45">
      <c r="A35" s="13" t="s">
        <v>56</v>
      </c>
      <c r="B35">
        <v>8581.5529597556742</v>
      </c>
      <c r="C35">
        <v>34053.801243361879</v>
      </c>
      <c r="D35">
        <v>40574.35200955136</v>
      </c>
      <c r="E35">
        <v>2.6680588667251204E-2</v>
      </c>
      <c r="F35">
        <v>9.2634042754768942E-3</v>
      </c>
      <c r="H35" s="6"/>
      <c r="I35" s="6" t="s">
        <v>201</v>
      </c>
      <c r="J35" s="6" t="s">
        <v>202</v>
      </c>
      <c r="K35" s="6" t="s">
        <v>203</v>
      </c>
      <c r="L35" s="6" t="s">
        <v>204</v>
      </c>
      <c r="M35" s="6" t="s">
        <v>205</v>
      </c>
    </row>
    <row r="36" spans="1:16" x14ac:dyDescent="0.45">
      <c r="A36" t="s">
        <v>58</v>
      </c>
      <c r="B36">
        <v>667.87372075160806</v>
      </c>
      <c r="C36">
        <v>729.4098796825358</v>
      </c>
      <c r="D36">
        <v>2225.5541757711321</v>
      </c>
      <c r="E36">
        <v>2.0610576710066164E-2</v>
      </c>
      <c r="F36">
        <v>6.046963679554751E-2</v>
      </c>
      <c r="H36" s="4" t="s">
        <v>197</v>
      </c>
      <c r="I36" s="4">
        <v>1</v>
      </c>
      <c r="J36" s="4">
        <v>1.8396079312553958E-3</v>
      </c>
      <c r="K36" s="4">
        <v>1.8396079312553958E-3</v>
      </c>
      <c r="L36" s="4">
        <v>7.3405508012004681</v>
      </c>
      <c r="M36" s="4">
        <v>7.8314924665547157E-3</v>
      </c>
    </row>
    <row r="37" spans="1:16" x14ac:dyDescent="0.45">
      <c r="A37" t="s">
        <v>59</v>
      </c>
      <c r="B37">
        <v>10779.835595436714</v>
      </c>
      <c r="C37">
        <v>36665.035292983812</v>
      </c>
      <c r="D37">
        <v>44832.511821698419</v>
      </c>
      <c r="E37">
        <v>2.4451027273755033E-2</v>
      </c>
      <c r="F37">
        <v>1.0640953467379255E-2</v>
      </c>
      <c r="H37" s="4" t="s">
        <v>198</v>
      </c>
      <c r="I37" s="4">
        <v>109</v>
      </c>
      <c r="J37" s="4">
        <v>2.7316378557593481E-2</v>
      </c>
      <c r="K37" s="4">
        <v>2.5060897759260077E-4</v>
      </c>
      <c r="L37" s="4"/>
      <c r="M37" s="4"/>
    </row>
    <row r="38" spans="1:16" ht="14.65" thickBot="1" x14ac:dyDescent="0.5">
      <c r="A38" t="s">
        <v>60</v>
      </c>
      <c r="B38">
        <v>4558.4717557251906</v>
      </c>
      <c r="C38">
        <v>9514.098150431566</v>
      </c>
      <c r="D38">
        <v>13532.576629213483</v>
      </c>
      <c r="E38">
        <v>1.8613698424823744E-2</v>
      </c>
      <c r="F38">
        <v>1.8716425878392062E-2</v>
      </c>
      <c r="H38" s="5" t="s">
        <v>199</v>
      </c>
      <c r="I38" s="5">
        <v>110</v>
      </c>
      <c r="J38" s="5">
        <v>2.9155986488848876E-2</v>
      </c>
      <c r="K38" s="5"/>
      <c r="L38" s="5"/>
      <c r="M38" s="5"/>
    </row>
    <row r="39" spans="1:16" ht="14.65" thickBot="1" x14ac:dyDescent="0.5">
      <c r="A39" s="13" t="s">
        <v>61</v>
      </c>
      <c r="B39">
        <v>12699.275032014637</v>
      </c>
      <c r="C39">
        <v>38248.537151906217</v>
      </c>
      <c r="D39">
        <v>44027.998016367928</v>
      </c>
      <c r="E39">
        <v>2.1296150776928702E-2</v>
      </c>
      <c r="F39">
        <v>7.433833445071425E-3</v>
      </c>
    </row>
    <row r="40" spans="1:16" x14ac:dyDescent="0.45">
      <c r="A40" t="s">
        <v>62</v>
      </c>
      <c r="B40">
        <v>5757.7382537196554</v>
      </c>
      <c r="C40">
        <v>16800.231439270596</v>
      </c>
      <c r="D40">
        <v>14734.554450888336</v>
      </c>
      <c r="E40">
        <v>1.6053781312329596E-2</v>
      </c>
      <c r="F40">
        <v>-6.881334657210636E-3</v>
      </c>
      <c r="H40" s="6"/>
      <c r="I40" s="6" t="s">
        <v>206</v>
      </c>
      <c r="J40" s="6" t="s">
        <v>194</v>
      </c>
      <c r="K40" s="6" t="s">
        <v>207</v>
      </c>
      <c r="L40" s="6" t="s">
        <v>208</v>
      </c>
      <c r="M40" s="6" t="s">
        <v>209</v>
      </c>
      <c r="N40" s="6" t="s">
        <v>210</v>
      </c>
      <c r="O40" s="6" t="s">
        <v>211</v>
      </c>
      <c r="P40" s="6" t="s">
        <v>212</v>
      </c>
    </row>
    <row r="41" spans="1:16" x14ac:dyDescent="0.45">
      <c r="A41" s="13" t="s">
        <v>63</v>
      </c>
      <c r="B41">
        <v>14951.962224443727</v>
      </c>
      <c r="C41">
        <v>37253.365816239078</v>
      </c>
      <c r="D41">
        <v>44671.794989500995</v>
      </c>
      <c r="E41">
        <v>1.8723979478376007E-2</v>
      </c>
      <c r="F41">
        <v>9.6037183302841722E-3</v>
      </c>
      <c r="H41" s="4" t="s">
        <v>200</v>
      </c>
      <c r="I41" s="4">
        <v>2.3773988263137109E-2</v>
      </c>
      <c r="J41" s="4">
        <v>2.0268373787849757E-3</v>
      </c>
      <c r="K41" s="4">
        <v>11.729598295344669</v>
      </c>
      <c r="L41" s="4">
        <v>4.8260297151683077E-21</v>
      </c>
      <c r="M41" s="4">
        <v>1.975686247140257E-2</v>
      </c>
      <c r="N41" s="4">
        <v>2.7791114054871648E-2</v>
      </c>
      <c r="O41" s="4">
        <v>1.975686247140257E-2</v>
      </c>
      <c r="P41" s="4">
        <v>2.7791114054871648E-2</v>
      </c>
    </row>
    <row r="42" spans="1:16" ht="14.65" thickBot="1" x14ac:dyDescent="0.5">
      <c r="A42" t="s">
        <v>65</v>
      </c>
      <c r="B42">
        <v>2855.973973395026</v>
      </c>
      <c r="C42">
        <v>2807.7913625777405</v>
      </c>
      <c r="D42">
        <v>5503.7299188964398</v>
      </c>
      <c r="E42">
        <v>1.1180910399754884E-2</v>
      </c>
      <c r="F42">
        <v>3.6057369500800407E-2</v>
      </c>
      <c r="H42" s="5" t="s">
        <v>213</v>
      </c>
      <c r="I42" s="5">
        <v>-2.4164682682422788E-7</v>
      </c>
      <c r="J42" s="5">
        <v>8.9190124938814664E-8</v>
      </c>
      <c r="K42" s="5">
        <v>-2.7093450871382911</v>
      </c>
      <c r="L42" s="5">
        <v>7.8314924665550435E-3</v>
      </c>
      <c r="M42" s="5">
        <v>-4.1841875485849393E-7</v>
      </c>
      <c r="N42" s="5">
        <v>-6.487489878996183E-8</v>
      </c>
      <c r="O42" s="5">
        <v>-4.1841875485849393E-7</v>
      </c>
      <c r="P42" s="5">
        <v>-6.487489878996183E-8</v>
      </c>
    </row>
    <row r="43" spans="1:16" x14ac:dyDescent="0.45">
      <c r="A43" t="s">
        <v>66</v>
      </c>
      <c r="B43">
        <v>1566.7883617816676</v>
      </c>
      <c r="C43">
        <v>1734.1628502433045</v>
      </c>
      <c r="D43">
        <v>2567.981019794538</v>
      </c>
      <c r="E43">
        <v>8.4096061055924931E-3</v>
      </c>
      <c r="F43">
        <v>2.0877861335803383E-2</v>
      </c>
    </row>
    <row r="44" spans="1:16" x14ac:dyDescent="0.45">
      <c r="A44" t="s">
        <v>67</v>
      </c>
      <c r="B44">
        <v>2622.7106433442041</v>
      </c>
      <c r="C44">
        <v>2368.4723381649842</v>
      </c>
      <c r="D44">
        <v>2360.6246965114792</v>
      </c>
      <c r="E44">
        <v>-1.782851095950666E-3</v>
      </c>
      <c r="F44">
        <v>-1.7466255206355363E-4</v>
      </c>
    </row>
    <row r="45" spans="1:16" x14ac:dyDescent="0.45">
      <c r="A45" t="s">
        <v>68</v>
      </c>
      <c r="B45">
        <v>1979.3316217372701</v>
      </c>
      <c r="C45">
        <v>1717.4848913676849</v>
      </c>
      <c r="D45">
        <v>1960.5211619553334</v>
      </c>
      <c r="E45">
        <v>-1.6183243058542907E-4</v>
      </c>
      <c r="F45">
        <v>6.9900746149647031E-3</v>
      </c>
    </row>
    <row r="46" spans="1:16" x14ac:dyDescent="0.45">
      <c r="A46" t="s">
        <v>69</v>
      </c>
      <c r="B46">
        <v>2374.4122582998907</v>
      </c>
      <c r="C46">
        <v>14966.914219729464</v>
      </c>
      <c r="D46">
        <v>20985.484070796458</v>
      </c>
      <c r="E46">
        <v>3.7624096167897081E-2</v>
      </c>
      <c r="F46">
        <v>1.7948055105897032E-2</v>
      </c>
    </row>
    <row r="47" spans="1:16" x14ac:dyDescent="0.45">
      <c r="A47" s="13" t="s">
        <v>70</v>
      </c>
      <c r="B47">
        <v>7240.6783180987204</v>
      </c>
      <c r="C47">
        <v>25852.117378475199</v>
      </c>
      <c r="D47">
        <v>27640.542206521219</v>
      </c>
      <c r="E47">
        <v>2.2964264839418824E-2</v>
      </c>
      <c r="F47">
        <v>3.5267891501442605E-3</v>
      </c>
    </row>
    <row r="48" spans="1:16" x14ac:dyDescent="0.45">
      <c r="A48" t="s">
        <v>72</v>
      </c>
      <c r="B48">
        <v>3376.7094239641865</v>
      </c>
      <c r="C48">
        <v>6136.1381462058062</v>
      </c>
      <c r="D48">
        <v>7742.2965901657999</v>
      </c>
      <c r="E48">
        <v>1.4163718593353192E-2</v>
      </c>
      <c r="F48">
        <v>1.2312166852258555E-2</v>
      </c>
    </row>
    <row r="49" spans="1:6" x14ac:dyDescent="0.45">
      <c r="A49" t="s">
        <v>74</v>
      </c>
      <c r="B49">
        <v>4421.1285035788351</v>
      </c>
      <c r="C49">
        <v>30212.347017241122</v>
      </c>
      <c r="D49">
        <v>49821.489806621656</v>
      </c>
      <c r="E49">
        <v>4.1905990684317329E-2</v>
      </c>
      <c r="F49">
        <v>2.6675683686410601E-2</v>
      </c>
    </row>
    <row r="50" spans="1:6" x14ac:dyDescent="0.45">
      <c r="A50" t="s">
        <v>75</v>
      </c>
      <c r="B50">
        <v>3091.8083311637592</v>
      </c>
      <c r="C50">
        <v>3949.9352954597312</v>
      </c>
      <c r="D50">
        <v>5506.5447614943414</v>
      </c>
      <c r="E50">
        <v>9.8307395696015654E-3</v>
      </c>
      <c r="F50">
        <v>1.7639997022904863E-2</v>
      </c>
    </row>
    <row r="51" spans="1:6" x14ac:dyDescent="0.45">
      <c r="A51" t="s">
        <v>77</v>
      </c>
      <c r="B51">
        <v>2382.2987050510887</v>
      </c>
      <c r="C51">
        <v>1757.7534204494434</v>
      </c>
      <c r="D51">
        <v>1621.1804565350569</v>
      </c>
      <c r="E51">
        <v>-6.5026858281215238E-3</v>
      </c>
      <c r="F51">
        <v>-4.2478976954970493E-3</v>
      </c>
    </row>
    <row r="52" spans="1:6" x14ac:dyDescent="0.45">
      <c r="A52" t="s">
        <v>79</v>
      </c>
      <c r="B52">
        <v>1561.7046341282694</v>
      </c>
      <c r="C52">
        <v>5535.8237854929557</v>
      </c>
      <c r="D52">
        <v>11493.626249696998</v>
      </c>
      <c r="E52">
        <v>3.4409526055094508E-2</v>
      </c>
      <c r="F52">
        <v>3.9198890479609449E-2</v>
      </c>
    </row>
    <row r="53" spans="1:6" x14ac:dyDescent="0.45">
      <c r="A53" t="s">
        <v>80</v>
      </c>
      <c r="B53">
        <v>1002.5485677230621</v>
      </c>
      <c r="C53">
        <v>2574.9096964675032</v>
      </c>
      <c r="D53">
        <v>6705.8933219400396</v>
      </c>
      <c r="E53">
        <v>3.2735256707036253E-2</v>
      </c>
      <c r="F53">
        <v>5.1668013726374973E-2</v>
      </c>
    </row>
    <row r="54" spans="1:6" x14ac:dyDescent="0.45">
      <c r="A54" s="13" t="s">
        <v>81</v>
      </c>
      <c r="B54">
        <v>10589.088932664758</v>
      </c>
      <c r="C54">
        <v>53374.402764928236</v>
      </c>
      <c r="D54">
        <v>96812.218392217095</v>
      </c>
      <c r="E54">
        <v>3.8219899565889781E-2</v>
      </c>
      <c r="F54">
        <v>3.1835287108074262E-2</v>
      </c>
    </row>
    <row r="55" spans="1:6" x14ac:dyDescent="0.45">
      <c r="A55" t="s">
        <v>82</v>
      </c>
      <c r="B55">
        <v>11680.373965641937</v>
      </c>
      <c r="C55">
        <v>9672.6167799900632</v>
      </c>
      <c r="D55">
        <v>12079.871408774645</v>
      </c>
      <c r="E55">
        <v>5.701718588777549E-4</v>
      </c>
      <c r="F55">
        <v>1.176560640967006E-2</v>
      </c>
    </row>
    <row r="56" spans="1:6" x14ac:dyDescent="0.45">
      <c r="A56" s="13" t="s">
        <v>84</v>
      </c>
      <c r="B56">
        <v>11408.558773424191</v>
      </c>
      <c r="C56">
        <v>35726.243580599148</v>
      </c>
      <c r="D56">
        <v>52021.709144542772</v>
      </c>
      <c r="E56">
        <v>2.6050435461316246E-2</v>
      </c>
      <c r="F56">
        <v>1.9974535929653925E-2</v>
      </c>
    </row>
    <row r="57" spans="1:6" x14ac:dyDescent="0.45">
      <c r="A57" t="s">
        <v>85</v>
      </c>
      <c r="B57">
        <v>9403.9886763359518</v>
      </c>
      <c r="C57">
        <v>30916.180524722502</v>
      </c>
      <c r="D57">
        <v>40383.059546446937</v>
      </c>
      <c r="E57">
        <v>2.5007163028968993E-2</v>
      </c>
      <c r="F57">
        <v>1.4158809757167656E-2</v>
      </c>
    </row>
    <row r="58" spans="1:6" x14ac:dyDescent="0.45">
      <c r="A58" s="13" t="s">
        <v>86</v>
      </c>
      <c r="B58">
        <v>11717.270037112052</v>
      </c>
      <c r="C58">
        <v>41855.6035927341</v>
      </c>
      <c r="D58">
        <v>40756.55531535043</v>
      </c>
      <c r="E58">
        <v>2.1352791458488785E-2</v>
      </c>
      <c r="F58">
        <v>-1.3994930406103778E-3</v>
      </c>
    </row>
    <row r="59" spans="1:6" x14ac:dyDescent="0.45">
      <c r="A59" t="s">
        <v>87</v>
      </c>
      <c r="B59">
        <v>6448.9517972818494</v>
      </c>
      <c r="C59">
        <v>8096.8055900855088</v>
      </c>
      <c r="D59">
        <v>8357.3591561238682</v>
      </c>
      <c r="E59">
        <v>4.4033082513326161E-3</v>
      </c>
      <c r="F59">
        <v>1.6683835994379947E-3</v>
      </c>
    </row>
    <row r="60" spans="1:6" x14ac:dyDescent="0.45">
      <c r="A60" t="s">
        <v>88</v>
      </c>
      <c r="B60">
        <v>7567.86242025108</v>
      </c>
      <c r="C60">
        <v>9246.8932942898973</v>
      </c>
      <c r="D60">
        <v>10652.070780165715</v>
      </c>
      <c r="E60">
        <v>5.8107777958957829E-3</v>
      </c>
      <c r="F60">
        <v>7.4734021250695282E-3</v>
      </c>
    </row>
    <row r="61" spans="1:6" x14ac:dyDescent="0.45">
      <c r="A61" t="s">
        <v>89</v>
      </c>
      <c r="B61">
        <v>6443.6652187468626</v>
      </c>
      <c r="C61">
        <v>34432.084263222197</v>
      </c>
      <c r="D61">
        <v>40195.821703085996</v>
      </c>
      <c r="E61">
        <v>3.1514622624930988E-2</v>
      </c>
      <c r="F61">
        <v>8.1792817058166101E-3</v>
      </c>
    </row>
    <row r="62" spans="1:6" x14ac:dyDescent="0.45">
      <c r="A62" t="s">
        <v>91</v>
      </c>
      <c r="B62">
        <v>2572.3772159929722</v>
      </c>
      <c r="C62">
        <v>2851.8447939282833</v>
      </c>
      <c r="D62">
        <v>4328.4525145509187</v>
      </c>
      <c r="E62">
        <v>8.859004532981718E-3</v>
      </c>
      <c r="F62">
        <v>2.2203111286600574E-2</v>
      </c>
    </row>
    <row r="63" spans="1:6" x14ac:dyDescent="0.45">
      <c r="A63" t="s">
        <v>95</v>
      </c>
      <c r="B63">
        <v>1640.6614611322339</v>
      </c>
      <c r="C63">
        <v>22620.517020126976</v>
      </c>
      <c r="D63">
        <v>42813.458388725885</v>
      </c>
      <c r="E63">
        <v>5.6840661281907456E-2</v>
      </c>
      <c r="F63">
        <v>3.4148821194691648E-2</v>
      </c>
    </row>
    <row r="64" spans="1:6" x14ac:dyDescent="0.45">
      <c r="A64" t="s">
        <v>101</v>
      </c>
      <c r="B64">
        <v>1574.7492914670202</v>
      </c>
      <c r="C64">
        <v>5917.9662523432171</v>
      </c>
      <c r="D64">
        <v>13331.020765626979</v>
      </c>
      <c r="E64">
        <v>3.6866671509821813E-2</v>
      </c>
      <c r="F64">
        <v>4.3668750517354527E-2</v>
      </c>
    </row>
    <row r="65" spans="1:6" x14ac:dyDescent="0.45">
      <c r="A65" t="s">
        <v>102</v>
      </c>
      <c r="B65">
        <v>565.80031408552793</v>
      </c>
      <c r="C65">
        <v>1603.3926111767021</v>
      </c>
      <c r="D65">
        <v>3016.8224721215825</v>
      </c>
      <c r="E65">
        <v>2.8774311452425261E-2</v>
      </c>
      <c r="F65">
        <v>3.3827042805152585E-2</v>
      </c>
    </row>
    <row r="66" spans="1:6" x14ac:dyDescent="0.45">
      <c r="A66" s="13" t="s">
        <v>104</v>
      </c>
      <c r="B66">
        <v>22074.229325699744</v>
      </c>
      <c r="C66">
        <v>76823.128640220137</v>
      </c>
      <c r="D66">
        <v>91869.226571382169</v>
      </c>
      <c r="E66">
        <v>2.4463164645930124E-2</v>
      </c>
      <c r="F66">
        <v>9.4581517733871578E-3</v>
      </c>
    </row>
    <row r="67" spans="1:6" x14ac:dyDescent="0.45">
      <c r="A67" t="s">
        <v>107</v>
      </c>
      <c r="B67">
        <v>1467.7973515762521</v>
      </c>
      <c r="C67">
        <v>4075.2504575653697</v>
      </c>
      <c r="D67">
        <v>7964.5155654505661</v>
      </c>
      <c r="E67">
        <v>2.9079764370607775E-2</v>
      </c>
      <c r="F67">
        <v>3.5895760820434219E-2</v>
      </c>
    </row>
    <row r="68" spans="1:6" x14ac:dyDescent="0.45">
      <c r="A68" t="s">
        <v>109</v>
      </c>
      <c r="B68">
        <v>2523.3834055890247</v>
      </c>
      <c r="C68">
        <v>1667.4353134434382</v>
      </c>
      <c r="D68">
        <v>1667.2817574056428</v>
      </c>
      <c r="E68">
        <v>-6.9992212667502329E-3</v>
      </c>
      <c r="F68">
        <v>-4.8471141468331425E-6</v>
      </c>
    </row>
    <row r="69" spans="1:6" x14ac:dyDescent="0.45">
      <c r="A69" t="s">
        <v>111</v>
      </c>
      <c r="B69">
        <v>7289.0354978653995</v>
      </c>
      <c r="C69">
        <v>17014.198967035321</v>
      </c>
      <c r="D69">
        <v>18862.632323604452</v>
      </c>
      <c r="E69">
        <v>1.6246005213091941E-2</v>
      </c>
      <c r="F69">
        <v>5.4428964219102038E-3</v>
      </c>
    </row>
    <row r="70" spans="1:6" x14ac:dyDescent="0.45">
      <c r="A70" t="s">
        <v>113</v>
      </c>
      <c r="B70">
        <v>310.67456909962044</v>
      </c>
      <c r="C70">
        <v>916.15665424249073</v>
      </c>
      <c r="D70">
        <v>2402.4140960423238</v>
      </c>
      <c r="E70">
        <v>3.5277193361129999E-2</v>
      </c>
      <c r="F70">
        <v>5.2048329003048233E-2</v>
      </c>
    </row>
    <row r="71" spans="1:6" x14ac:dyDescent="0.45">
      <c r="A71" t="s">
        <v>114</v>
      </c>
      <c r="B71">
        <v>2508.8703423205088</v>
      </c>
      <c r="C71">
        <v>21449.510416666664</v>
      </c>
      <c r="D71">
        <v>39270.757947320613</v>
      </c>
      <c r="E71">
        <v>4.7724998474993896E-2</v>
      </c>
      <c r="F71">
        <v>3.2342445860117364E-2</v>
      </c>
    </row>
    <row r="72" spans="1:6" x14ac:dyDescent="0.45">
      <c r="A72" t="s">
        <v>118</v>
      </c>
      <c r="B72">
        <v>413.46622320972659</v>
      </c>
      <c r="C72">
        <v>622.32320643183402</v>
      </c>
      <c r="D72">
        <v>1264.3690970164</v>
      </c>
      <c r="E72">
        <v>1.9125555667435012E-2</v>
      </c>
      <c r="F72">
        <v>3.8013605909873682E-2</v>
      </c>
    </row>
    <row r="73" spans="1:6" x14ac:dyDescent="0.45">
      <c r="A73" t="s">
        <v>119</v>
      </c>
      <c r="B73">
        <v>2343.5082511571745</v>
      </c>
      <c r="C73">
        <v>4239.2495627708922</v>
      </c>
      <c r="D73">
        <v>5051.6542192368033</v>
      </c>
      <c r="E73">
        <v>1.3103183731823176E-2</v>
      </c>
      <c r="F73">
        <v>9.2705761549563004E-3</v>
      </c>
    </row>
    <row r="74" spans="1:6" x14ac:dyDescent="0.45">
      <c r="A74" t="s">
        <v>121</v>
      </c>
      <c r="B74">
        <v>3597.5455508474574</v>
      </c>
      <c r="C74">
        <v>12381.020251455573</v>
      </c>
      <c r="D74">
        <v>23826.842088682366</v>
      </c>
      <c r="E74">
        <v>3.2562323531630799E-2</v>
      </c>
      <c r="F74">
        <v>3.5055618105344299E-2</v>
      </c>
    </row>
    <row r="75" spans="1:6" x14ac:dyDescent="0.45">
      <c r="A75" t="s">
        <v>122</v>
      </c>
      <c r="B75">
        <v>412.80842730959392</v>
      </c>
      <c r="C75">
        <v>861.63114415901271</v>
      </c>
      <c r="D75">
        <v>1189.9342251472192</v>
      </c>
      <c r="E75">
        <v>1.8105506726415976E-2</v>
      </c>
      <c r="F75">
        <v>1.7136009573484046E-2</v>
      </c>
    </row>
    <row r="76" spans="1:6" x14ac:dyDescent="0.45">
      <c r="A76" t="s">
        <v>123</v>
      </c>
      <c r="B76">
        <v>2548.2422931767801</v>
      </c>
      <c r="C76">
        <v>14423.113924541805</v>
      </c>
      <c r="D76">
        <v>25702.283347626588</v>
      </c>
      <c r="E76">
        <v>3.9949833256708089E-2</v>
      </c>
      <c r="F76">
        <v>3.0874816261681426E-2</v>
      </c>
    </row>
    <row r="77" spans="1:6" x14ac:dyDescent="0.45">
      <c r="A77" t="s">
        <v>124</v>
      </c>
      <c r="B77">
        <v>4322.2717339667461</v>
      </c>
      <c r="C77">
        <v>6611.6099966566362</v>
      </c>
      <c r="D77">
        <v>9514.0817799158158</v>
      </c>
      <c r="E77">
        <v>1.3462558525664914E-2</v>
      </c>
      <c r="F77">
        <v>1.9339676918382454E-2</v>
      </c>
    </row>
    <row r="78" spans="1:6" x14ac:dyDescent="0.45">
      <c r="A78" t="s">
        <v>125</v>
      </c>
      <c r="B78">
        <v>1681.4462973121231</v>
      </c>
      <c r="C78">
        <v>894.37133326273431</v>
      </c>
      <c r="D78">
        <v>1184.1170664115621</v>
      </c>
      <c r="E78">
        <v>-5.9257107499000039E-3</v>
      </c>
      <c r="F78">
        <v>1.4879702721551258E-2</v>
      </c>
    </row>
    <row r="79" spans="1:6" x14ac:dyDescent="0.45">
      <c r="A79" t="s">
        <v>126</v>
      </c>
      <c r="B79">
        <v>3390.7013249274687</v>
      </c>
      <c r="C79">
        <v>2902.5836598276633</v>
      </c>
      <c r="D79">
        <v>5007.058803186248</v>
      </c>
      <c r="E79">
        <v>6.6288555532556526E-3</v>
      </c>
      <c r="F79">
        <v>2.9112965473862218E-2</v>
      </c>
    </row>
    <row r="80" spans="1:6" x14ac:dyDescent="0.45">
      <c r="A80" t="s">
        <v>127</v>
      </c>
      <c r="B80">
        <v>4257.5929375464257</v>
      </c>
      <c r="C80">
        <v>3737.9451995344521</v>
      </c>
      <c r="D80">
        <v>5092.4424413719353</v>
      </c>
      <c r="E80">
        <v>3.0394165353335723E-3</v>
      </c>
      <c r="F80">
        <v>1.6407972943507598E-2</v>
      </c>
    </row>
    <row r="81" spans="1:6" x14ac:dyDescent="0.45">
      <c r="A81" s="13" t="s">
        <v>128</v>
      </c>
      <c r="B81">
        <v>16053.593950712093</v>
      </c>
      <c r="C81">
        <v>46384.397251070564</v>
      </c>
      <c r="D81">
        <v>56194.961426206777</v>
      </c>
      <c r="E81">
        <v>2.1462575186973476E-2</v>
      </c>
      <c r="F81">
        <v>1.0149261162219814E-2</v>
      </c>
    </row>
    <row r="82" spans="1:6" x14ac:dyDescent="0.45">
      <c r="A82" s="13" t="s">
        <v>129</v>
      </c>
      <c r="B82">
        <v>17675.53248603352</v>
      </c>
      <c r="C82">
        <v>62192.042272302977</v>
      </c>
      <c r="D82">
        <v>70221.670564613582</v>
      </c>
      <c r="E82">
        <v>2.3656419787119853E-2</v>
      </c>
      <c r="F82">
        <v>6.4115140638532075E-3</v>
      </c>
    </row>
    <row r="83" spans="1:6" x14ac:dyDescent="0.45">
      <c r="A83" t="s">
        <v>130</v>
      </c>
      <c r="B83">
        <v>1097.3449144206177</v>
      </c>
      <c r="C83">
        <v>1900.7396026080673</v>
      </c>
      <c r="D83">
        <v>3614.6953339368797</v>
      </c>
      <c r="E83">
        <v>2.0410831793281847E-2</v>
      </c>
      <c r="F83">
        <v>3.4408442794344074E-2</v>
      </c>
    </row>
    <row r="84" spans="1:6" x14ac:dyDescent="0.45">
      <c r="A84" t="s">
        <v>131</v>
      </c>
      <c r="B84">
        <v>17345.61588255204</v>
      </c>
      <c r="C84">
        <v>29467.033246955172</v>
      </c>
      <c r="D84">
        <v>41051.364449833789</v>
      </c>
      <c r="E84">
        <v>1.4708550184172164E-2</v>
      </c>
      <c r="F84">
        <v>1.7603245302902248E-2</v>
      </c>
    </row>
    <row r="85" spans="1:6" x14ac:dyDescent="0.45">
      <c r="A85" t="s">
        <v>133</v>
      </c>
      <c r="B85">
        <v>1265.4760611395825</v>
      </c>
      <c r="C85">
        <v>3386.3445128548101</v>
      </c>
      <c r="D85">
        <v>4980.3575411203919</v>
      </c>
      <c r="E85">
        <v>2.3492954502329022E-2</v>
      </c>
      <c r="F85">
        <v>2.0510167290913817E-2</v>
      </c>
    </row>
    <row r="86" spans="1:6" x14ac:dyDescent="0.45">
      <c r="A86" t="s">
        <v>134</v>
      </c>
      <c r="B86">
        <v>4299.584826132771</v>
      </c>
      <c r="C86">
        <v>14037.704847704848</v>
      </c>
      <c r="D86">
        <v>30412.770605689522</v>
      </c>
      <c r="E86">
        <v>3.3714241032460457E-2</v>
      </c>
      <c r="F86">
        <v>4.1529493527248995E-2</v>
      </c>
    </row>
    <row r="87" spans="1:6" x14ac:dyDescent="0.45">
      <c r="A87" t="s">
        <v>135</v>
      </c>
      <c r="B87">
        <v>5037.7647848401102</v>
      </c>
      <c r="C87">
        <v>6140.0978461747773</v>
      </c>
      <c r="D87">
        <v>12282.95377801018</v>
      </c>
      <c r="E87">
        <v>1.5220602456919474E-2</v>
      </c>
      <c r="F87">
        <v>3.7167303200656754E-2</v>
      </c>
    </row>
    <row r="88" spans="1:6" x14ac:dyDescent="0.45">
      <c r="A88" t="s">
        <v>136</v>
      </c>
      <c r="B88">
        <v>2864.3012592782961</v>
      </c>
      <c r="C88">
        <v>4378.7836516146563</v>
      </c>
      <c r="D88">
        <v>8601.4497311236191</v>
      </c>
      <c r="E88">
        <v>1.8812155691495303E-2</v>
      </c>
      <c r="F88">
        <v>3.6173628999556229E-2</v>
      </c>
    </row>
    <row r="89" spans="1:6" x14ac:dyDescent="0.45">
      <c r="A89" s="13" t="s">
        <v>138</v>
      </c>
      <c r="B89">
        <v>6167.0266421415517</v>
      </c>
      <c r="C89">
        <v>27927.523283254508</v>
      </c>
      <c r="D89">
        <v>32191.894349807357</v>
      </c>
      <c r="E89">
        <v>2.8404362661842431E-2</v>
      </c>
      <c r="F89">
        <v>7.5070901997900119E-3</v>
      </c>
    </row>
    <row r="90" spans="1:6" x14ac:dyDescent="0.45">
      <c r="A90" t="s">
        <v>139</v>
      </c>
      <c r="B90">
        <v>3686.3703878406709</v>
      </c>
      <c r="C90">
        <v>7062.1289825668773</v>
      </c>
      <c r="D90">
        <v>12468.183743576639</v>
      </c>
      <c r="E90">
        <v>2.0867935235381108E-2</v>
      </c>
      <c r="F90">
        <v>3.0369581217095876E-2</v>
      </c>
    </row>
    <row r="91" spans="1:6" x14ac:dyDescent="0.45">
      <c r="A91" t="s">
        <v>142</v>
      </c>
      <c r="B91">
        <v>2499.5165509005124</v>
      </c>
      <c r="C91">
        <v>11482.373295870339</v>
      </c>
      <c r="D91">
        <v>28048.249124691447</v>
      </c>
      <c r="E91">
        <v>4.183142545772367E-2</v>
      </c>
      <c r="F91">
        <v>4.8128248602119728E-2</v>
      </c>
    </row>
    <row r="92" spans="1:6" x14ac:dyDescent="0.45">
      <c r="A92" t="s">
        <v>144</v>
      </c>
      <c r="B92">
        <v>801.04695099758453</v>
      </c>
      <c r="C92">
        <v>908.34418997441298</v>
      </c>
      <c r="D92">
        <v>2331.3484992476438</v>
      </c>
      <c r="E92">
        <v>1.8271400528373727E-2</v>
      </c>
      <c r="F92">
        <v>5.0860559117182236E-2</v>
      </c>
    </row>
    <row r="93" spans="1:6" x14ac:dyDescent="0.45">
      <c r="A93" t="s">
        <v>147</v>
      </c>
      <c r="B93">
        <v>2836.6694891597654</v>
      </c>
      <c r="C93">
        <v>2376.1459934474415</v>
      </c>
      <c r="D93">
        <v>3319.8134434599056</v>
      </c>
      <c r="E93">
        <v>2.6692840201198997E-3</v>
      </c>
      <c r="F93">
        <v>1.7757332397513981E-2</v>
      </c>
    </row>
    <row r="94" spans="1:6" x14ac:dyDescent="0.45">
      <c r="A94" t="s">
        <v>148</v>
      </c>
      <c r="B94">
        <v>5165.1860634804816</v>
      </c>
      <c r="C94">
        <v>48856.267368264293</v>
      </c>
      <c r="D94">
        <v>83455.353151973541</v>
      </c>
      <c r="E94">
        <v>4.82884901934586E-2</v>
      </c>
      <c r="F94">
        <v>2.8581306435061071E-2</v>
      </c>
    </row>
    <row r="95" spans="1:6" x14ac:dyDescent="0.45">
      <c r="A95" t="s">
        <v>150</v>
      </c>
      <c r="B95">
        <v>3786.7364220288091</v>
      </c>
      <c r="C95">
        <v>6190.7013536235327</v>
      </c>
      <c r="D95">
        <v>8244.2067218296761</v>
      </c>
      <c r="E95">
        <v>1.3273871546581884E-2</v>
      </c>
      <c r="F95">
        <v>1.519119679121661E-2</v>
      </c>
    </row>
    <row r="96" spans="1:6" x14ac:dyDescent="0.45">
      <c r="A96" s="13" t="s">
        <v>156</v>
      </c>
      <c r="B96">
        <v>16272.76686199394</v>
      </c>
      <c r="C96">
        <v>40030.579377589616</v>
      </c>
      <c r="D96">
        <v>53012.403600892751</v>
      </c>
      <c r="E96">
        <v>2.0219201496014527E-2</v>
      </c>
      <c r="F96">
        <v>1.4893090472813952E-2</v>
      </c>
    </row>
    <row r="97" spans="1:6" x14ac:dyDescent="0.45">
      <c r="A97" t="s">
        <v>159</v>
      </c>
      <c r="B97">
        <v>3968.4367245657563</v>
      </c>
      <c r="C97">
        <v>16292.493827160493</v>
      </c>
      <c r="D97">
        <v>24957.141248720574</v>
      </c>
      <c r="E97">
        <v>3.1656635558110935E-2</v>
      </c>
      <c r="F97">
        <v>2.2698811274623587E-2</v>
      </c>
    </row>
    <row r="98" spans="1:6" x14ac:dyDescent="0.45">
      <c r="A98" t="s">
        <v>160</v>
      </c>
      <c r="B98">
        <v>4461.1795412544843</v>
      </c>
      <c r="C98">
        <v>9932.0959733833843</v>
      </c>
      <c r="D98">
        <v>7180.0317162758274</v>
      </c>
      <c r="E98">
        <v>8.0985596922036329E-3</v>
      </c>
      <c r="F98">
        <v>-1.6932259261375315E-2</v>
      </c>
    </row>
    <row r="99" spans="1:6" x14ac:dyDescent="0.45">
      <c r="A99" t="s">
        <v>162</v>
      </c>
      <c r="B99">
        <v>1198.0768661735035</v>
      </c>
      <c r="C99">
        <v>844.70827100063423</v>
      </c>
      <c r="D99">
        <v>1566.408355228916</v>
      </c>
      <c r="E99">
        <v>4.5538572174803615E-3</v>
      </c>
      <c r="F99">
        <v>3.3036572482139093E-2</v>
      </c>
    </row>
    <row r="100" spans="1:6" x14ac:dyDescent="0.45">
      <c r="A100" t="s">
        <v>163</v>
      </c>
      <c r="B100">
        <v>1140.5851029908806</v>
      </c>
      <c r="C100">
        <v>1289.7649256762245</v>
      </c>
      <c r="D100">
        <v>2158.8345664654066</v>
      </c>
      <c r="E100">
        <v>1.087270224858905E-2</v>
      </c>
      <c r="F100">
        <v>2.7481822579120907E-2</v>
      </c>
    </row>
    <row r="101" spans="1:6" x14ac:dyDescent="0.45">
      <c r="A101" t="s">
        <v>164</v>
      </c>
      <c r="B101">
        <v>1218.8971443400328</v>
      </c>
      <c r="C101">
        <v>9404.1231021435178</v>
      </c>
      <c r="D101">
        <v>17659.041717414282</v>
      </c>
      <c r="E101">
        <v>4.6352382069719811E-2</v>
      </c>
      <c r="F101">
        <v>3.3719169141451344E-2</v>
      </c>
    </row>
    <row r="102" spans="1:6" x14ac:dyDescent="0.45">
      <c r="A102" t="s">
        <v>167</v>
      </c>
      <c r="B102">
        <v>7791.2640807013331</v>
      </c>
      <c r="C102">
        <v>16778.696969696968</v>
      </c>
      <c r="D102">
        <v>25588.768458781364</v>
      </c>
      <c r="E102">
        <v>2.0359576995850226E-2</v>
      </c>
      <c r="F102">
        <v>2.2461356102786878E-2</v>
      </c>
    </row>
    <row r="103" spans="1:6" x14ac:dyDescent="0.45">
      <c r="A103" t="s">
        <v>168</v>
      </c>
      <c r="B103">
        <v>2051.4825926286103</v>
      </c>
      <c r="C103">
        <v>7539.9380330435506</v>
      </c>
      <c r="D103">
        <v>11064.691697948645</v>
      </c>
      <c r="E103">
        <v>2.8974474286217689E-2</v>
      </c>
      <c r="F103">
        <v>2.0391713758249663E-2</v>
      </c>
    </row>
    <row r="104" spans="1:6" x14ac:dyDescent="0.45">
      <c r="A104" s="13" t="s">
        <v>169</v>
      </c>
      <c r="B104">
        <v>5472.000915661074</v>
      </c>
      <c r="C104">
        <v>14713.357761360654</v>
      </c>
      <c r="D104">
        <v>26883.108632907268</v>
      </c>
      <c r="E104">
        <v>2.7347844332815674E-2</v>
      </c>
      <c r="F104">
        <v>3.2231830125593053E-2</v>
      </c>
    </row>
    <row r="105" spans="1:6" x14ac:dyDescent="0.45">
      <c r="A105" t="s">
        <v>170</v>
      </c>
      <c r="B105">
        <v>1805.0165452721767</v>
      </c>
      <c r="C105">
        <v>26201.556830219299</v>
      </c>
      <c r="D105">
        <v>47804.235887438546</v>
      </c>
      <c r="E105">
        <v>5.7105647735028686E-2</v>
      </c>
      <c r="F105">
        <v>3.2153222546059235E-2</v>
      </c>
    </row>
    <row r="106" spans="1:6" x14ac:dyDescent="0.45">
      <c r="A106" t="s">
        <v>171</v>
      </c>
      <c r="B106">
        <v>870.82742095844105</v>
      </c>
      <c r="C106">
        <v>1268.1446543003756</v>
      </c>
      <c r="D106">
        <v>2479.7769790297607</v>
      </c>
      <c r="E106">
        <v>1.7895184515570595E-2</v>
      </c>
      <c r="F106">
        <v>3.5925735923741042E-2</v>
      </c>
    </row>
    <row r="107" spans="1:6" x14ac:dyDescent="0.45">
      <c r="A107" t="s">
        <v>172</v>
      </c>
      <c r="B107">
        <v>950.98436608467432</v>
      </c>
      <c r="C107">
        <v>1164.1753769524148</v>
      </c>
      <c r="D107">
        <v>2058.1335724741134</v>
      </c>
      <c r="E107">
        <v>1.3171707828590673E-2</v>
      </c>
      <c r="F107">
        <v>3.0442956801186138E-2</v>
      </c>
    </row>
    <row r="108" spans="1:6" x14ac:dyDescent="0.45">
      <c r="A108" t="s">
        <v>174</v>
      </c>
      <c r="B108">
        <v>7682.0148104030168</v>
      </c>
      <c r="C108">
        <v>12853.978251046781</v>
      </c>
      <c r="D108">
        <v>20844.078140797876</v>
      </c>
      <c r="E108">
        <v>1.7062368508274472E-2</v>
      </c>
      <c r="F108">
        <v>2.5769410422126438E-2</v>
      </c>
    </row>
    <row r="109" spans="1:6" x14ac:dyDescent="0.45">
      <c r="A109" s="13" t="s">
        <v>175</v>
      </c>
      <c r="B109">
        <v>19019.006575771971</v>
      </c>
      <c r="C109">
        <v>50205.23167545168</v>
      </c>
      <c r="D109">
        <v>62490.991898558612</v>
      </c>
      <c r="E109">
        <v>2.0367068619823181E-2</v>
      </c>
      <c r="F109">
        <v>1.1587844813178316E-2</v>
      </c>
    </row>
    <row r="110" spans="1:6" x14ac:dyDescent="0.45">
      <c r="A110" t="s">
        <v>178</v>
      </c>
      <c r="B110">
        <v>439.56847680795516</v>
      </c>
      <c r="C110">
        <v>551.64406177146543</v>
      </c>
      <c r="D110">
        <v>233.93894262128367</v>
      </c>
      <c r="E110">
        <v>-1.0633456711138134E-2</v>
      </c>
      <c r="F110">
        <v>-4.4145548354034503E-2</v>
      </c>
    </row>
    <row r="111" spans="1:6" x14ac:dyDescent="0.45">
      <c r="A111" t="s">
        <v>182</v>
      </c>
      <c r="B111">
        <v>7962.8747056805132</v>
      </c>
      <c r="C111">
        <v>10115.295256372907</v>
      </c>
      <c r="D111">
        <v>12514.906085046867</v>
      </c>
      <c r="E111">
        <v>7.6926638020626825E-3</v>
      </c>
      <c r="F111">
        <v>1.1266774227052467E-2</v>
      </c>
    </row>
    <row r="112" spans="1:6" x14ac:dyDescent="0.45">
      <c r="A112" t="s">
        <v>183</v>
      </c>
      <c r="B112">
        <v>2397.3829294982024</v>
      </c>
      <c r="C112">
        <v>1807.6949183459901</v>
      </c>
      <c r="D112">
        <v>3151.1266670399191</v>
      </c>
      <c r="E112">
        <v>4.6443511220448652E-3</v>
      </c>
      <c r="F112">
        <v>2.9679682439401667E-2</v>
      </c>
    </row>
    <row r="113" spans="1:6" x14ac:dyDescent="0.45">
      <c r="A113" t="s">
        <v>184</v>
      </c>
      <c r="B113">
        <v>1515.5499467131085</v>
      </c>
      <c r="C113">
        <v>1833.9984261246475</v>
      </c>
      <c r="D113">
        <v>2915.1664538595473</v>
      </c>
      <c r="E113">
        <v>1.1148954991307303E-2</v>
      </c>
      <c r="F113">
        <v>2.4690861624913518E-2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C278-660E-4BD5-85D9-77C835B731B4}">
  <dimension ref="A2:M183"/>
  <sheetViews>
    <sheetView topLeftCell="A114" workbookViewId="0">
      <selection activeCell="C3" sqref="C3:C183"/>
    </sheetView>
  </sheetViews>
  <sheetFormatPr defaultRowHeight="14.25" x14ac:dyDescent="0.45"/>
  <sheetData>
    <row r="2" spans="1:10" x14ac:dyDescent="0.45">
      <c r="B2">
        <v>2000</v>
      </c>
      <c r="C2" t="s">
        <v>188</v>
      </c>
    </row>
    <row r="3" spans="1:10" x14ac:dyDescent="0.45">
      <c r="A3" t="s">
        <v>2</v>
      </c>
      <c r="B3">
        <v>31209.151815181522</v>
      </c>
      <c r="C3">
        <v>-4.0941417578017614E-3</v>
      </c>
      <c r="E3" t="s">
        <v>189</v>
      </c>
    </row>
    <row r="4" spans="1:10" ht="14.65" thickBot="1" x14ac:dyDescent="0.5">
      <c r="A4" t="s">
        <v>3</v>
      </c>
      <c r="B4">
        <v>4979.2001829770361</v>
      </c>
      <c r="C4">
        <v>1.7939367822359609E-2</v>
      </c>
    </row>
    <row r="5" spans="1:10" x14ac:dyDescent="0.45">
      <c r="A5" t="s">
        <v>4</v>
      </c>
      <c r="B5">
        <v>12864.132743362832</v>
      </c>
      <c r="C5">
        <v>8.107076063055052E-3</v>
      </c>
      <c r="E5" s="7" t="s">
        <v>190</v>
      </c>
      <c r="F5" s="7"/>
    </row>
    <row r="6" spans="1:10" x14ac:dyDescent="0.45">
      <c r="A6" t="s">
        <v>5</v>
      </c>
      <c r="B6">
        <v>5543.9938642464522</v>
      </c>
      <c r="C6">
        <v>4.551153423575327E-2</v>
      </c>
      <c r="E6" s="4" t="s">
        <v>191</v>
      </c>
      <c r="F6" s="4">
        <v>0.40663072815707813</v>
      </c>
    </row>
    <row r="7" spans="1:10" x14ac:dyDescent="0.45">
      <c r="A7" t="s">
        <v>6</v>
      </c>
      <c r="B7">
        <v>101264.99633068504</v>
      </c>
      <c r="C7">
        <v>-2.2029463183345976E-2</v>
      </c>
      <c r="E7" s="4" t="s">
        <v>192</v>
      </c>
      <c r="F7" s="4">
        <v>0.16534854908155558</v>
      </c>
    </row>
    <row r="8" spans="1:10" x14ac:dyDescent="0.45">
      <c r="A8" t="s">
        <v>7</v>
      </c>
      <c r="B8">
        <v>18350.664685876083</v>
      </c>
      <c r="C8">
        <v>9.0713104045490045E-3</v>
      </c>
      <c r="E8" s="4" t="s">
        <v>193</v>
      </c>
      <c r="F8" s="4">
        <v>0.16068569181385478</v>
      </c>
    </row>
    <row r="9" spans="1:10" x14ac:dyDescent="0.45">
      <c r="A9" t="s">
        <v>8</v>
      </c>
      <c r="B9">
        <v>4270.133437581444</v>
      </c>
      <c r="C9">
        <v>6.6944261654816817E-2</v>
      </c>
      <c r="E9" s="4" t="s">
        <v>194</v>
      </c>
      <c r="F9" s="4">
        <v>1.8609021058809152E-2</v>
      </c>
    </row>
    <row r="10" spans="1:10" ht="14.65" thickBot="1" x14ac:dyDescent="0.5">
      <c r="A10" t="s">
        <v>9</v>
      </c>
      <c r="B10">
        <v>13228.815789473685</v>
      </c>
      <c r="C10">
        <v>8.6025142330954374E-3</v>
      </c>
      <c r="E10" s="5" t="s">
        <v>195</v>
      </c>
      <c r="F10" s="5">
        <v>181</v>
      </c>
    </row>
    <row r="11" spans="1:10" x14ac:dyDescent="0.45">
      <c r="A11" t="s">
        <v>10</v>
      </c>
      <c r="B11">
        <v>41458.739218804301</v>
      </c>
      <c r="C11">
        <v>1.2204425459765966E-2</v>
      </c>
    </row>
    <row r="12" spans="1:10" ht="14.65" thickBot="1" x14ac:dyDescent="0.5">
      <c r="A12" t="s">
        <v>11</v>
      </c>
      <c r="B12">
        <v>44299.02145167486</v>
      </c>
      <c r="C12">
        <v>9.7179936162627989E-3</v>
      </c>
      <c r="E12" t="s">
        <v>196</v>
      </c>
    </row>
    <row r="13" spans="1:10" x14ac:dyDescent="0.45">
      <c r="A13" t="s">
        <v>12</v>
      </c>
      <c r="B13">
        <v>4014.199305649599</v>
      </c>
      <c r="C13">
        <v>6.9251220899501309E-2</v>
      </c>
      <c r="E13" s="6"/>
      <c r="F13" s="6" t="s">
        <v>201</v>
      </c>
      <c r="G13" s="6" t="s">
        <v>202</v>
      </c>
      <c r="H13" s="6" t="s">
        <v>203</v>
      </c>
      <c r="I13" s="6" t="s">
        <v>204</v>
      </c>
      <c r="J13" s="6" t="s">
        <v>205</v>
      </c>
    </row>
    <row r="14" spans="1:10" x14ac:dyDescent="0.45">
      <c r="A14" t="s">
        <v>13</v>
      </c>
      <c r="B14">
        <v>797.31822100989211</v>
      </c>
      <c r="C14">
        <v>3.2603437813150116E-4</v>
      </c>
      <c r="E14" s="4" t="s">
        <v>197</v>
      </c>
      <c r="F14" s="4">
        <v>1</v>
      </c>
      <c r="G14" s="4">
        <v>1.2279913888662432E-2</v>
      </c>
      <c r="H14" s="4">
        <v>1.2279913888662432E-2</v>
      </c>
      <c r="I14" s="4">
        <v>35.460778571737571</v>
      </c>
      <c r="J14" s="4">
        <v>1.3459998481245027E-8</v>
      </c>
    </row>
    <row r="15" spans="1:10" x14ac:dyDescent="0.45">
      <c r="A15" t="s">
        <v>14</v>
      </c>
      <c r="B15">
        <v>38553.312225248003</v>
      </c>
      <c r="C15">
        <v>9.6667822824061389E-3</v>
      </c>
      <c r="E15" s="4" t="s">
        <v>198</v>
      </c>
      <c r="F15" s="4">
        <v>179</v>
      </c>
      <c r="G15" s="4">
        <v>6.1986923993329245E-2</v>
      </c>
      <c r="H15" s="4">
        <v>3.4629566476720248E-4</v>
      </c>
      <c r="I15" s="4"/>
      <c r="J15" s="4"/>
    </row>
    <row r="16" spans="1:10" ht="14.65" thickBot="1" x14ac:dyDescent="0.5">
      <c r="A16" t="s">
        <v>15</v>
      </c>
      <c r="B16">
        <v>1779.7985289833966</v>
      </c>
      <c r="C16">
        <v>3.3291518006099086E-2</v>
      </c>
      <c r="E16" s="5" t="s">
        <v>199</v>
      </c>
      <c r="F16" s="5">
        <v>180</v>
      </c>
      <c r="G16" s="5">
        <v>7.4266837881991676E-2</v>
      </c>
      <c r="H16" s="5"/>
      <c r="I16" s="5"/>
      <c r="J16" s="5"/>
    </row>
    <row r="17" spans="1:13" ht="14.65" thickBot="1" x14ac:dyDescent="0.5">
      <c r="A17" t="s">
        <v>16</v>
      </c>
      <c r="B17">
        <v>1217.5816814410875</v>
      </c>
      <c r="C17">
        <v>2.7675540475651017E-2</v>
      </c>
    </row>
    <row r="18" spans="1:13" x14ac:dyDescent="0.45">
      <c r="A18" t="s">
        <v>17</v>
      </c>
      <c r="B18">
        <v>1884.4727047836445</v>
      </c>
      <c r="C18">
        <v>4.9263271170562728E-2</v>
      </c>
      <c r="E18" s="6"/>
      <c r="F18" s="6" t="s">
        <v>206</v>
      </c>
      <c r="G18" s="6" t="s">
        <v>194</v>
      </c>
      <c r="H18" s="6" t="s">
        <v>207</v>
      </c>
      <c r="I18" s="6" t="s">
        <v>208</v>
      </c>
      <c r="J18" s="6" t="s">
        <v>209</v>
      </c>
      <c r="K18" s="6" t="s">
        <v>210</v>
      </c>
      <c r="L18" s="6" t="s">
        <v>211</v>
      </c>
      <c r="M18" s="6" t="s">
        <v>212</v>
      </c>
    </row>
    <row r="19" spans="1:13" x14ac:dyDescent="0.45">
      <c r="A19" t="s">
        <v>18</v>
      </c>
      <c r="B19">
        <v>9580.0463740935229</v>
      </c>
      <c r="C19">
        <v>4.2612803296362189E-2</v>
      </c>
      <c r="E19" s="4" t="s">
        <v>200</v>
      </c>
      <c r="F19" s="4">
        <v>2.9677155859572042E-2</v>
      </c>
      <c r="G19" s="4">
        <v>1.8098152659288525E-3</v>
      </c>
      <c r="H19" s="4">
        <v>16.397892325403067</v>
      </c>
      <c r="I19" s="4">
        <v>1.7161502019556123E-37</v>
      </c>
      <c r="J19" s="4">
        <v>2.6105837561065392E-2</v>
      </c>
      <c r="K19" s="4">
        <v>3.3248474158078696E-2</v>
      </c>
      <c r="L19" s="4">
        <v>2.6105837561065392E-2</v>
      </c>
      <c r="M19" s="4">
        <v>3.3248474158078696E-2</v>
      </c>
    </row>
    <row r="20" spans="1:13" ht="14.65" thickBot="1" x14ac:dyDescent="0.5">
      <c r="A20" t="s">
        <v>19</v>
      </c>
      <c r="B20">
        <v>50990.174992476677</v>
      </c>
      <c r="C20">
        <v>-4.8935475811492379E-3</v>
      </c>
      <c r="E20" s="5" t="s">
        <v>213</v>
      </c>
      <c r="F20" s="5">
        <v>-4.2941159982130428E-7</v>
      </c>
      <c r="G20" s="5">
        <v>7.2110687918427838E-8</v>
      </c>
      <c r="H20" s="5">
        <v>-5.9548953451540774</v>
      </c>
      <c r="I20" s="5">
        <v>1.3459998481244332E-8</v>
      </c>
      <c r="J20" s="5">
        <v>-5.7170801212878439E-7</v>
      </c>
      <c r="K20" s="5">
        <v>-2.8711518751382417E-7</v>
      </c>
      <c r="L20" s="5">
        <v>-5.7170801212878439E-7</v>
      </c>
      <c r="M20" s="5">
        <v>-2.8711518751382417E-7</v>
      </c>
    </row>
    <row r="21" spans="1:13" x14ac:dyDescent="0.45">
      <c r="A21" t="s">
        <v>20</v>
      </c>
      <c r="B21">
        <v>35715.9537068098</v>
      </c>
      <c r="C21">
        <v>-4.6197148621039963E-3</v>
      </c>
    </row>
    <row r="22" spans="1:13" x14ac:dyDescent="0.45">
      <c r="A22" t="s">
        <v>21</v>
      </c>
      <c r="B22">
        <v>6973.5939699296232</v>
      </c>
      <c r="C22">
        <v>3.610391079757469E-2</v>
      </c>
    </row>
    <row r="23" spans="1:13" x14ac:dyDescent="0.45">
      <c r="A23" t="s">
        <v>22</v>
      </c>
      <c r="B23">
        <v>8986.9660845253038</v>
      </c>
      <c r="C23">
        <v>4.6213249995194827E-2</v>
      </c>
    </row>
    <row r="24" spans="1:13" x14ac:dyDescent="0.45">
      <c r="A24" t="s">
        <v>23</v>
      </c>
      <c r="B24">
        <v>5687.3473513950667</v>
      </c>
      <c r="C24">
        <v>3.7593758314273806E-3</v>
      </c>
    </row>
    <row r="25" spans="1:13" x14ac:dyDescent="0.45">
      <c r="A25" t="s">
        <v>24</v>
      </c>
      <c r="B25">
        <v>41700.870769230765</v>
      </c>
      <c r="C25">
        <v>1.1822701217264475E-2</v>
      </c>
    </row>
    <row r="26" spans="1:13" x14ac:dyDescent="0.45">
      <c r="A26" t="s">
        <v>25</v>
      </c>
      <c r="B26">
        <v>5256.823301616716</v>
      </c>
      <c r="C26">
        <v>2.5415813137628529E-2</v>
      </c>
    </row>
    <row r="27" spans="1:13" x14ac:dyDescent="0.45">
      <c r="A27" t="s">
        <v>26</v>
      </c>
      <c r="B27">
        <v>11475.357900295383</v>
      </c>
      <c r="C27">
        <v>1.2073084829683278E-2</v>
      </c>
    </row>
    <row r="28" spans="1:13" x14ac:dyDescent="0.45">
      <c r="A28" t="s">
        <v>27</v>
      </c>
      <c r="B28">
        <v>11329.919705340699</v>
      </c>
      <c r="C28">
        <v>1.6491954388555552E-3</v>
      </c>
    </row>
    <row r="29" spans="1:13" x14ac:dyDescent="0.45">
      <c r="A29" t="s">
        <v>28</v>
      </c>
      <c r="B29">
        <v>72848.098139255701</v>
      </c>
      <c r="C29">
        <v>-5.5434260633617782E-3</v>
      </c>
    </row>
    <row r="30" spans="1:13" x14ac:dyDescent="0.45">
      <c r="A30" t="s">
        <v>29</v>
      </c>
      <c r="B30">
        <v>4220.144162436548</v>
      </c>
      <c r="C30">
        <v>5.5100732605438685E-2</v>
      </c>
    </row>
    <row r="31" spans="1:13" x14ac:dyDescent="0.45">
      <c r="A31" t="s">
        <v>30</v>
      </c>
      <c r="B31">
        <v>10746.980892107345</v>
      </c>
      <c r="C31">
        <v>2.343821136781532E-2</v>
      </c>
    </row>
    <row r="32" spans="1:13" x14ac:dyDescent="0.45">
      <c r="A32" t="s">
        <v>31</v>
      </c>
      <c r="B32">
        <v>1250.8867157455225</v>
      </c>
      <c r="C32">
        <v>-1.3799475033671627E-2</v>
      </c>
    </row>
    <row r="33" spans="1:3" x14ac:dyDescent="0.45">
      <c r="A33" t="s">
        <v>32</v>
      </c>
      <c r="B33">
        <v>42187.295674177141</v>
      </c>
      <c r="C33">
        <v>9.0855767882069838E-3</v>
      </c>
    </row>
    <row r="34" spans="1:3" x14ac:dyDescent="0.45">
      <c r="A34" t="s">
        <v>33</v>
      </c>
      <c r="B34">
        <v>63663.364567877041</v>
      </c>
      <c r="C34">
        <v>8.9830885965789253E-3</v>
      </c>
    </row>
    <row r="35" spans="1:3" x14ac:dyDescent="0.45">
      <c r="A35" t="s">
        <v>34</v>
      </c>
      <c r="B35">
        <v>14743.493723276673</v>
      </c>
      <c r="C35">
        <v>2.4627228288073733E-2</v>
      </c>
    </row>
    <row r="36" spans="1:3" x14ac:dyDescent="0.45">
      <c r="A36" t="s">
        <v>35</v>
      </c>
      <c r="B36">
        <v>4619.9289481669375</v>
      </c>
      <c r="C36">
        <v>6.1460173499586324E-2</v>
      </c>
    </row>
    <row r="37" spans="1:3" x14ac:dyDescent="0.45">
      <c r="A37" t="s">
        <v>36</v>
      </c>
      <c r="B37">
        <v>2788.8788066631423</v>
      </c>
      <c r="C37">
        <v>3.0200274498500601E-2</v>
      </c>
    </row>
    <row r="38" spans="1:3" x14ac:dyDescent="0.45">
      <c r="A38" t="s">
        <v>37</v>
      </c>
      <c r="B38">
        <v>2724.8200581414085</v>
      </c>
      <c r="C38">
        <v>1.4958870561945448E-2</v>
      </c>
    </row>
    <row r="39" spans="1:3" x14ac:dyDescent="0.45">
      <c r="A39" t="s">
        <v>38</v>
      </c>
      <c r="B39">
        <v>714.01264175536778</v>
      </c>
      <c r="C39">
        <v>2.0149960807276823E-2</v>
      </c>
    </row>
    <row r="40" spans="1:3" x14ac:dyDescent="0.45">
      <c r="A40" t="s">
        <v>39</v>
      </c>
      <c r="B40">
        <v>4044.030120867174</v>
      </c>
      <c r="C40">
        <v>-6.1395133651050982E-3</v>
      </c>
    </row>
    <row r="41" spans="1:3" x14ac:dyDescent="0.45">
      <c r="A41" t="s">
        <v>40</v>
      </c>
      <c r="B41">
        <v>8577.5517284885191</v>
      </c>
      <c r="C41">
        <v>2.5413113619018102E-2</v>
      </c>
    </row>
    <row r="42" spans="1:3" x14ac:dyDescent="0.45">
      <c r="A42" t="s">
        <v>41</v>
      </c>
      <c r="B42">
        <v>2982.6948746312682</v>
      </c>
      <c r="C42">
        <v>3.9466604666724692E-3</v>
      </c>
    </row>
    <row r="43" spans="1:3" x14ac:dyDescent="0.45">
      <c r="A43" t="s">
        <v>42</v>
      </c>
      <c r="B43">
        <v>4453.4787482484817</v>
      </c>
      <c r="C43">
        <v>2.7369173663116531E-2</v>
      </c>
    </row>
    <row r="44" spans="1:3" x14ac:dyDescent="0.45">
      <c r="A44" t="s">
        <v>43</v>
      </c>
      <c r="B44">
        <v>11445.701897839694</v>
      </c>
      <c r="C44">
        <v>2.5972559368250714E-2</v>
      </c>
    </row>
    <row r="45" spans="1:3" x14ac:dyDescent="0.45">
      <c r="A45" t="s">
        <v>45</v>
      </c>
      <c r="B45">
        <v>79578.988179669046</v>
      </c>
      <c r="C45">
        <v>-6.1946173706366459E-3</v>
      </c>
    </row>
    <row r="46" spans="1:3" x14ac:dyDescent="0.45">
      <c r="A46" t="s">
        <v>46</v>
      </c>
      <c r="B46">
        <v>27079.714821222606</v>
      </c>
      <c r="C46">
        <v>1.052995558208436E-2</v>
      </c>
    </row>
    <row r="47" spans="1:3" x14ac:dyDescent="0.45">
      <c r="A47" t="s">
        <v>47</v>
      </c>
      <c r="B47">
        <v>22912.505831243801</v>
      </c>
      <c r="C47">
        <v>2.612305811142468E-2</v>
      </c>
    </row>
    <row r="48" spans="1:3" x14ac:dyDescent="0.45">
      <c r="A48" t="s">
        <v>48</v>
      </c>
      <c r="B48">
        <v>41903.03178466086</v>
      </c>
      <c r="C48">
        <v>1.1072859911475108E-2</v>
      </c>
    </row>
    <row r="49" spans="1:3" x14ac:dyDescent="0.45">
      <c r="A49" t="s">
        <v>49</v>
      </c>
      <c r="B49">
        <v>1639.4027313266445</v>
      </c>
      <c r="C49">
        <v>5.9408147962694891E-2</v>
      </c>
    </row>
    <row r="50" spans="1:3" x14ac:dyDescent="0.45">
      <c r="A50" t="s">
        <v>50</v>
      </c>
      <c r="B50">
        <v>8594.8407460545186</v>
      </c>
      <c r="C50">
        <v>1.142465746858834E-2</v>
      </c>
    </row>
    <row r="51" spans="1:3" x14ac:dyDescent="0.45">
      <c r="A51" t="s">
        <v>51</v>
      </c>
      <c r="B51">
        <v>45378.835748520934</v>
      </c>
      <c r="C51">
        <v>9.1252351469819359E-3</v>
      </c>
    </row>
    <row r="52" spans="1:3" x14ac:dyDescent="0.45">
      <c r="A52" t="s">
        <v>52</v>
      </c>
      <c r="B52">
        <v>8981.4948709170967</v>
      </c>
      <c r="C52">
        <v>3.7920570772675077E-2</v>
      </c>
    </row>
    <row r="53" spans="1:3" x14ac:dyDescent="0.45">
      <c r="A53" t="s">
        <v>53</v>
      </c>
      <c r="B53">
        <v>8466.3669553060008</v>
      </c>
      <c r="C53">
        <v>1.4778575929089488E-2</v>
      </c>
    </row>
    <row r="54" spans="1:3" x14ac:dyDescent="0.45">
      <c r="A54" t="s">
        <v>54</v>
      </c>
      <c r="B54">
        <v>8032.2062675950829</v>
      </c>
      <c r="C54">
        <v>1.7530727810695312E-2</v>
      </c>
    </row>
    <row r="55" spans="1:3" x14ac:dyDescent="0.45">
      <c r="A55" t="s">
        <v>55</v>
      </c>
      <c r="B55">
        <v>8380.3033417790666</v>
      </c>
      <c r="C55">
        <v>2.2652708329851334E-2</v>
      </c>
    </row>
    <row r="56" spans="1:3" x14ac:dyDescent="0.45">
      <c r="A56" t="s">
        <v>56</v>
      </c>
      <c r="B56">
        <v>34053.801243361879</v>
      </c>
      <c r="C56">
        <v>9.2634042754768942E-3</v>
      </c>
    </row>
    <row r="57" spans="1:3" x14ac:dyDescent="0.45">
      <c r="A57" t="s">
        <v>57</v>
      </c>
      <c r="B57">
        <v>16264.656493460081</v>
      </c>
      <c r="C57">
        <v>3.9228447912760034E-2</v>
      </c>
    </row>
    <row r="58" spans="1:3" x14ac:dyDescent="0.45">
      <c r="A58" t="s">
        <v>58</v>
      </c>
      <c r="B58">
        <v>729.4098796825358</v>
      </c>
      <c r="C58">
        <v>6.046963679554751E-2</v>
      </c>
    </row>
    <row r="59" spans="1:3" x14ac:dyDescent="0.45">
      <c r="A59" t="s">
        <v>59</v>
      </c>
      <c r="B59">
        <v>36665.035292983812</v>
      </c>
      <c r="C59">
        <v>1.0640953467379255E-2</v>
      </c>
    </row>
    <row r="60" spans="1:3" x14ac:dyDescent="0.45">
      <c r="A60" t="s">
        <v>60</v>
      </c>
      <c r="B60">
        <v>9514.098150431566</v>
      </c>
      <c r="C60">
        <v>1.8716425878392062E-2</v>
      </c>
    </row>
    <row r="61" spans="1:3" x14ac:dyDescent="0.45">
      <c r="A61" t="s">
        <v>61</v>
      </c>
      <c r="B61">
        <v>38248.537151906217</v>
      </c>
      <c r="C61">
        <v>7.433833445071425E-3</v>
      </c>
    </row>
    <row r="62" spans="1:3" x14ac:dyDescent="0.45">
      <c r="A62" t="s">
        <v>62</v>
      </c>
      <c r="B62">
        <v>16800.231439270596</v>
      </c>
      <c r="C62">
        <v>-6.881334657210636E-3</v>
      </c>
    </row>
    <row r="63" spans="1:3" x14ac:dyDescent="0.45">
      <c r="A63" t="s">
        <v>63</v>
      </c>
      <c r="B63">
        <v>37253.365816239078</v>
      </c>
      <c r="C63">
        <v>9.6037183302841722E-3</v>
      </c>
    </row>
    <row r="64" spans="1:3" x14ac:dyDescent="0.45">
      <c r="A64" t="s">
        <v>64</v>
      </c>
      <c r="B64">
        <v>5227.3705698959238</v>
      </c>
      <c r="C64">
        <v>6.0260411061416219E-2</v>
      </c>
    </row>
    <row r="65" spans="1:3" x14ac:dyDescent="0.45">
      <c r="A65" t="s">
        <v>65</v>
      </c>
      <c r="B65">
        <v>2807.7913625777405</v>
      </c>
      <c r="C65">
        <v>3.6057369500800407E-2</v>
      </c>
    </row>
    <row r="66" spans="1:3" x14ac:dyDescent="0.45">
      <c r="A66" t="s">
        <v>66</v>
      </c>
      <c r="B66">
        <v>1734.1628502433045</v>
      </c>
      <c r="C66">
        <v>2.0877861335803383E-2</v>
      </c>
    </row>
    <row r="67" spans="1:3" x14ac:dyDescent="0.45">
      <c r="A67" t="s">
        <v>67</v>
      </c>
      <c r="B67">
        <v>2368.4723381649842</v>
      </c>
      <c r="C67">
        <v>-1.7466255206355363E-4</v>
      </c>
    </row>
    <row r="68" spans="1:3" x14ac:dyDescent="0.45">
      <c r="A68" t="s">
        <v>68</v>
      </c>
      <c r="B68">
        <v>1717.4848913676849</v>
      </c>
      <c r="C68">
        <v>6.9900746149647031E-3</v>
      </c>
    </row>
    <row r="69" spans="1:3" x14ac:dyDescent="0.45">
      <c r="A69" t="s">
        <v>69</v>
      </c>
      <c r="B69">
        <v>14966.914219729464</v>
      </c>
      <c r="C69">
        <v>1.7948055105897032E-2</v>
      </c>
    </row>
    <row r="70" spans="1:3" x14ac:dyDescent="0.45">
      <c r="A70" t="s">
        <v>70</v>
      </c>
      <c r="B70">
        <v>25852.117378475199</v>
      </c>
      <c r="C70">
        <v>3.5267891501442605E-3</v>
      </c>
    </row>
    <row r="71" spans="1:3" x14ac:dyDescent="0.45">
      <c r="A71" t="s">
        <v>71</v>
      </c>
      <c r="B71">
        <v>10150.20233463035</v>
      </c>
      <c r="C71">
        <v>2.0407613726479923E-2</v>
      </c>
    </row>
    <row r="72" spans="1:3" x14ac:dyDescent="0.45">
      <c r="A72" t="s">
        <v>72</v>
      </c>
      <c r="B72">
        <v>6136.1381462058062</v>
      </c>
      <c r="C72">
        <v>1.2312166852258555E-2</v>
      </c>
    </row>
    <row r="73" spans="1:3" x14ac:dyDescent="0.45">
      <c r="A73" t="s">
        <v>73</v>
      </c>
      <c r="B73">
        <v>4780.563412347663</v>
      </c>
      <c r="C73">
        <v>5.5248249411615769E-2</v>
      </c>
    </row>
    <row r="74" spans="1:3" x14ac:dyDescent="0.45">
      <c r="A74" t="s">
        <v>74</v>
      </c>
      <c r="B74">
        <v>30212.347017241122</v>
      </c>
      <c r="C74">
        <v>2.6675683686410601E-2</v>
      </c>
    </row>
    <row r="75" spans="1:3" x14ac:dyDescent="0.45">
      <c r="A75" t="s">
        <v>75</v>
      </c>
      <c r="B75">
        <v>3949.9352954597312</v>
      </c>
      <c r="C75">
        <v>1.7639997022904863E-2</v>
      </c>
    </row>
    <row r="76" spans="1:3" x14ac:dyDescent="0.45">
      <c r="A76" t="s">
        <v>76</v>
      </c>
      <c r="B76">
        <v>17681.170750434725</v>
      </c>
      <c r="C76">
        <v>2.28268574802164E-2</v>
      </c>
    </row>
    <row r="77" spans="1:3" x14ac:dyDescent="0.45">
      <c r="A77" t="s">
        <v>77</v>
      </c>
      <c r="B77">
        <v>1757.7534204494434</v>
      </c>
      <c r="C77">
        <v>-4.2478976954970493E-3</v>
      </c>
    </row>
    <row r="78" spans="1:3" x14ac:dyDescent="0.45">
      <c r="A78" t="s">
        <v>78</v>
      </c>
      <c r="B78">
        <v>17601.25941979355</v>
      </c>
      <c r="C78">
        <v>2.8100468073500862E-2</v>
      </c>
    </row>
    <row r="79" spans="1:3" x14ac:dyDescent="0.45">
      <c r="A79" t="s">
        <v>79</v>
      </c>
      <c r="B79">
        <v>5535.8237854929557</v>
      </c>
      <c r="C79">
        <v>3.9198890479609449E-2</v>
      </c>
    </row>
    <row r="80" spans="1:3" x14ac:dyDescent="0.45">
      <c r="A80" t="s">
        <v>80</v>
      </c>
      <c r="B80">
        <v>2574.9096964675032</v>
      </c>
      <c r="C80">
        <v>5.1668013726374973E-2</v>
      </c>
    </row>
    <row r="81" spans="1:3" x14ac:dyDescent="0.45">
      <c r="A81" t="s">
        <v>81</v>
      </c>
      <c r="B81">
        <v>53374.402764928236</v>
      </c>
      <c r="C81">
        <v>3.1835287108074262E-2</v>
      </c>
    </row>
    <row r="82" spans="1:3" x14ac:dyDescent="0.45">
      <c r="A82" t="s">
        <v>82</v>
      </c>
      <c r="B82">
        <v>9672.6167799900632</v>
      </c>
      <c r="C82">
        <v>1.176560640967006E-2</v>
      </c>
    </row>
    <row r="83" spans="1:3" x14ac:dyDescent="0.45">
      <c r="A83" t="s">
        <v>83</v>
      </c>
      <c r="B83">
        <v>9496.3834093694677</v>
      </c>
      <c r="C83">
        <v>1.056490293987844E-2</v>
      </c>
    </row>
    <row r="84" spans="1:3" x14ac:dyDescent="0.45">
      <c r="A84" t="s">
        <v>84</v>
      </c>
      <c r="B84">
        <v>35726.243580599148</v>
      </c>
      <c r="C84">
        <v>1.9974535929653925E-2</v>
      </c>
    </row>
    <row r="85" spans="1:3" x14ac:dyDescent="0.45">
      <c r="A85" t="s">
        <v>85</v>
      </c>
      <c r="B85">
        <v>30916.180524722502</v>
      </c>
      <c r="C85">
        <v>1.4158809757167656E-2</v>
      </c>
    </row>
    <row r="86" spans="1:3" x14ac:dyDescent="0.45">
      <c r="A86" t="s">
        <v>86</v>
      </c>
      <c r="B86">
        <v>41855.6035927341</v>
      </c>
      <c r="C86">
        <v>-1.3994930406103778E-3</v>
      </c>
    </row>
    <row r="87" spans="1:3" x14ac:dyDescent="0.45">
      <c r="A87" t="s">
        <v>87</v>
      </c>
      <c r="B87">
        <v>8096.8055900855088</v>
      </c>
      <c r="C87">
        <v>1.6683835994379947E-3</v>
      </c>
    </row>
    <row r="88" spans="1:3" x14ac:dyDescent="0.45">
      <c r="A88" t="s">
        <v>88</v>
      </c>
      <c r="B88">
        <v>9246.8932942898973</v>
      </c>
      <c r="C88">
        <v>7.4734021250695282E-3</v>
      </c>
    </row>
    <row r="89" spans="1:3" x14ac:dyDescent="0.45">
      <c r="A89" t="s">
        <v>89</v>
      </c>
      <c r="B89">
        <v>34432.084263222197</v>
      </c>
      <c r="C89">
        <v>8.1792817058166101E-3</v>
      </c>
    </row>
    <row r="90" spans="1:3" x14ac:dyDescent="0.45">
      <c r="A90" t="s">
        <v>90</v>
      </c>
      <c r="B90">
        <v>10772.825333217179</v>
      </c>
      <c r="C90">
        <v>5.0847067086734921E-2</v>
      </c>
    </row>
    <row r="91" spans="1:3" x14ac:dyDescent="0.45">
      <c r="A91" t="s">
        <v>91</v>
      </c>
      <c r="B91">
        <v>2851.8447939282833</v>
      </c>
      <c r="C91">
        <v>2.2203111286600574E-2</v>
      </c>
    </row>
    <row r="92" spans="1:3" x14ac:dyDescent="0.45">
      <c r="A92" t="s">
        <v>92</v>
      </c>
      <c r="B92">
        <v>3660.5211047208727</v>
      </c>
      <c r="C92">
        <v>2.9110810871520343E-2</v>
      </c>
    </row>
    <row r="93" spans="1:3" x14ac:dyDescent="0.45">
      <c r="A93" t="s">
        <v>93</v>
      </c>
      <c r="B93">
        <v>1489.7562524680793</v>
      </c>
      <c r="C93">
        <v>5.8817088469898415E-2</v>
      </c>
    </row>
    <row r="94" spans="1:3" x14ac:dyDescent="0.45">
      <c r="A94" t="s">
        <v>94</v>
      </c>
      <c r="B94">
        <v>18061.646258503402</v>
      </c>
      <c r="C94">
        <v>1.0949812619644117E-2</v>
      </c>
    </row>
    <row r="95" spans="1:3" x14ac:dyDescent="0.45">
      <c r="A95" t="s">
        <v>95</v>
      </c>
      <c r="B95">
        <v>22620.517020126976</v>
      </c>
      <c r="C95">
        <v>3.4148821194691648E-2</v>
      </c>
    </row>
    <row r="96" spans="1:3" x14ac:dyDescent="0.45">
      <c r="A96" t="s">
        <v>96</v>
      </c>
      <c r="B96">
        <v>60838.868661679131</v>
      </c>
      <c r="C96">
        <v>-5.1421490542374881E-3</v>
      </c>
    </row>
    <row r="97" spans="1:3" x14ac:dyDescent="0.45">
      <c r="A97" t="s">
        <v>97</v>
      </c>
      <c r="B97">
        <v>2834.1756297312022</v>
      </c>
      <c r="C97">
        <v>5.4981125373200879E-2</v>
      </c>
    </row>
    <row r="98" spans="1:3" x14ac:dyDescent="0.45">
      <c r="A98" t="s">
        <v>98</v>
      </c>
      <c r="B98">
        <v>14369.254684084523</v>
      </c>
      <c r="C98">
        <v>1.1096727192136946E-3</v>
      </c>
    </row>
    <row r="99" spans="1:3" x14ac:dyDescent="0.45">
      <c r="A99" t="s">
        <v>99</v>
      </c>
      <c r="B99">
        <v>978.72139722661052</v>
      </c>
      <c r="C99">
        <v>1.4954730238766478E-2</v>
      </c>
    </row>
    <row r="100" spans="1:3" x14ac:dyDescent="0.45">
      <c r="A100" t="s">
        <v>100</v>
      </c>
      <c r="B100">
        <v>10114.071474154434</v>
      </c>
      <c r="C100">
        <v>1.0509345048193452E-2</v>
      </c>
    </row>
    <row r="101" spans="1:3" x14ac:dyDescent="0.45">
      <c r="A101" t="s">
        <v>101</v>
      </c>
      <c r="B101">
        <v>5917.9662523432171</v>
      </c>
      <c r="C101">
        <v>4.3668750517354527E-2</v>
      </c>
    </row>
    <row r="102" spans="1:3" x14ac:dyDescent="0.45">
      <c r="A102" t="s">
        <v>102</v>
      </c>
      <c r="B102">
        <v>1603.3926111767021</v>
      </c>
      <c r="C102">
        <v>3.3827042805152585E-2</v>
      </c>
    </row>
    <row r="103" spans="1:3" x14ac:dyDescent="0.45">
      <c r="A103" t="s">
        <v>103</v>
      </c>
      <c r="B103">
        <v>12300.888114683878</v>
      </c>
      <c r="C103">
        <v>5.391069303505569E-2</v>
      </c>
    </row>
    <row r="104" spans="1:3" x14ac:dyDescent="0.45">
      <c r="A104" t="s">
        <v>104</v>
      </c>
      <c r="B104">
        <v>76823.128640220137</v>
      </c>
      <c r="C104">
        <v>9.4581517733871578E-3</v>
      </c>
    </row>
    <row r="105" spans="1:3" x14ac:dyDescent="0.45">
      <c r="A105" t="s">
        <v>105</v>
      </c>
      <c r="B105">
        <v>12165.401392500629</v>
      </c>
      <c r="C105">
        <v>4.773821661628519E-2</v>
      </c>
    </row>
    <row r="106" spans="1:3" x14ac:dyDescent="0.45">
      <c r="A106" t="s">
        <v>106</v>
      </c>
      <c r="B106">
        <v>37564.795932678819</v>
      </c>
      <c r="C106">
        <v>4.8198593550194735E-2</v>
      </c>
    </row>
    <row r="107" spans="1:3" x14ac:dyDescent="0.45">
      <c r="A107" t="s">
        <v>107</v>
      </c>
      <c r="B107">
        <v>4075.2504575653697</v>
      </c>
      <c r="C107">
        <v>3.5895760820434219E-2</v>
      </c>
    </row>
    <row r="108" spans="1:3" x14ac:dyDescent="0.45">
      <c r="A108" t="s">
        <v>108</v>
      </c>
      <c r="B108">
        <v>4058.1031717705282</v>
      </c>
      <c r="C108">
        <v>4.7801238340320129E-2</v>
      </c>
    </row>
    <row r="109" spans="1:3" x14ac:dyDescent="0.45">
      <c r="A109" t="s">
        <v>109</v>
      </c>
      <c r="B109">
        <v>1667.4353134434382</v>
      </c>
      <c r="C109">
        <v>-4.8471141468331425E-6</v>
      </c>
    </row>
    <row r="110" spans="1:3" x14ac:dyDescent="0.45">
      <c r="A110" t="s">
        <v>110</v>
      </c>
      <c r="B110">
        <v>14247.206156048678</v>
      </c>
      <c r="C110">
        <v>2.0189402110588395E-2</v>
      </c>
    </row>
    <row r="111" spans="1:3" x14ac:dyDescent="0.45">
      <c r="A111" t="s">
        <v>111</v>
      </c>
      <c r="B111">
        <v>17014.198967035321</v>
      </c>
      <c r="C111">
        <v>5.4428964219102038E-3</v>
      </c>
    </row>
    <row r="112" spans="1:3" x14ac:dyDescent="0.45">
      <c r="A112" t="s">
        <v>112</v>
      </c>
      <c r="B112">
        <v>9912.5797129939056</v>
      </c>
      <c r="C112">
        <v>2.616951574979498E-2</v>
      </c>
    </row>
    <row r="113" spans="1:3" x14ac:dyDescent="0.45">
      <c r="A113" t="s">
        <v>113</v>
      </c>
      <c r="B113">
        <v>916.15665424249073</v>
      </c>
      <c r="C113">
        <v>5.2048329003048233E-2</v>
      </c>
    </row>
    <row r="114" spans="1:3" x14ac:dyDescent="0.45">
      <c r="A114" t="s">
        <v>114</v>
      </c>
      <c r="B114">
        <v>21449.510416666664</v>
      </c>
      <c r="C114">
        <v>3.2342445860117364E-2</v>
      </c>
    </row>
    <row r="115" spans="1:3" x14ac:dyDescent="0.45">
      <c r="A115" t="s">
        <v>115</v>
      </c>
      <c r="B115">
        <v>1123.0075150311325</v>
      </c>
      <c r="C115">
        <v>8.3646599881400885E-2</v>
      </c>
    </row>
    <row r="116" spans="1:3" x14ac:dyDescent="0.45">
      <c r="A116" t="s">
        <v>116</v>
      </c>
      <c r="B116">
        <v>12192.064537157758</v>
      </c>
      <c r="C116">
        <v>2.9643817787809335E-2</v>
      </c>
    </row>
    <row r="117" spans="1:3" x14ac:dyDescent="0.45">
      <c r="A117" t="s">
        <v>117</v>
      </c>
      <c r="B117">
        <v>4156.5455493451236</v>
      </c>
      <c r="C117">
        <v>5.4305691513669263E-2</v>
      </c>
    </row>
    <row r="118" spans="1:3" x14ac:dyDescent="0.45">
      <c r="A118" t="s">
        <v>118</v>
      </c>
      <c r="B118">
        <v>622.32320643183402</v>
      </c>
      <c r="C118">
        <v>3.8013605909873682E-2</v>
      </c>
    </row>
    <row r="119" spans="1:3" x14ac:dyDescent="0.45">
      <c r="A119" t="s">
        <v>119</v>
      </c>
      <c r="B119">
        <v>4239.2495627708922</v>
      </c>
      <c r="C119">
        <v>9.2705761549563004E-3</v>
      </c>
    </row>
    <row r="120" spans="1:3" x14ac:dyDescent="0.45">
      <c r="A120" t="s">
        <v>120</v>
      </c>
      <c r="B120">
        <v>12642.183673469388</v>
      </c>
      <c r="C120">
        <v>1.2339731971386936E-2</v>
      </c>
    </row>
    <row r="121" spans="1:3" x14ac:dyDescent="0.45">
      <c r="A121" t="s">
        <v>121</v>
      </c>
      <c r="B121">
        <v>12381.020251455573</v>
      </c>
      <c r="C121">
        <v>3.5055618105344299E-2</v>
      </c>
    </row>
    <row r="122" spans="1:3" x14ac:dyDescent="0.45">
      <c r="A122" t="s">
        <v>122</v>
      </c>
      <c r="B122">
        <v>861.63114415901271</v>
      </c>
      <c r="C122">
        <v>1.7136009573484046E-2</v>
      </c>
    </row>
    <row r="123" spans="1:3" x14ac:dyDescent="0.45">
      <c r="A123" t="s">
        <v>123</v>
      </c>
      <c r="B123">
        <v>14423.113924541805</v>
      </c>
      <c r="C123">
        <v>3.0874816261681426E-2</v>
      </c>
    </row>
    <row r="124" spans="1:3" x14ac:dyDescent="0.45">
      <c r="A124" t="s">
        <v>124</v>
      </c>
      <c r="B124">
        <v>6611.6099966566362</v>
      </c>
      <c r="C124">
        <v>1.9339676918382454E-2</v>
      </c>
    </row>
    <row r="125" spans="1:3" x14ac:dyDescent="0.45">
      <c r="A125" t="s">
        <v>125</v>
      </c>
      <c r="B125">
        <v>894.37133326273431</v>
      </c>
      <c r="C125">
        <v>1.4879702721551258E-2</v>
      </c>
    </row>
    <row r="126" spans="1:3" x14ac:dyDescent="0.45">
      <c r="A126" t="s">
        <v>126</v>
      </c>
      <c r="B126">
        <v>2902.5836598276633</v>
      </c>
      <c r="C126">
        <v>2.9112965473862218E-2</v>
      </c>
    </row>
    <row r="127" spans="1:3" x14ac:dyDescent="0.45">
      <c r="A127" t="s">
        <v>127</v>
      </c>
      <c r="B127">
        <v>3737.9451995344521</v>
      </c>
      <c r="C127">
        <v>1.6407972943507598E-2</v>
      </c>
    </row>
    <row r="128" spans="1:3" x14ac:dyDescent="0.45">
      <c r="A128" t="s">
        <v>128</v>
      </c>
      <c r="B128">
        <v>46384.397251070564</v>
      </c>
      <c r="C128">
        <v>1.0149261162219814E-2</v>
      </c>
    </row>
    <row r="129" spans="1:3" x14ac:dyDescent="0.45">
      <c r="A129" t="s">
        <v>129</v>
      </c>
      <c r="B129">
        <v>62192.042272302977</v>
      </c>
      <c r="C129">
        <v>6.4115140638532075E-3</v>
      </c>
    </row>
    <row r="130" spans="1:3" x14ac:dyDescent="0.45">
      <c r="A130" t="s">
        <v>130</v>
      </c>
      <c r="B130">
        <v>1900.7396026080673</v>
      </c>
      <c r="C130">
        <v>3.4408442794344074E-2</v>
      </c>
    </row>
    <row r="131" spans="1:3" x14ac:dyDescent="0.45">
      <c r="A131" t="s">
        <v>131</v>
      </c>
      <c r="B131">
        <v>29467.033246955172</v>
      </c>
      <c r="C131">
        <v>1.7603245302902248E-2</v>
      </c>
    </row>
    <row r="132" spans="1:3" x14ac:dyDescent="0.45">
      <c r="A132" t="s">
        <v>132</v>
      </c>
      <c r="B132">
        <v>36167.779276895948</v>
      </c>
      <c r="C132">
        <v>-1.1248419840375834E-2</v>
      </c>
    </row>
    <row r="133" spans="1:3" x14ac:dyDescent="0.45">
      <c r="A133" t="s">
        <v>133</v>
      </c>
      <c r="B133">
        <v>3386.3445128548101</v>
      </c>
      <c r="C133">
        <v>2.0510167290913817E-2</v>
      </c>
    </row>
    <row r="134" spans="1:3" x14ac:dyDescent="0.45">
      <c r="A134" t="s">
        <v>134</v>
      </c>
      <c r="B134">
        <v>14037.704847704848</v>
      </c>
      <c r="C134">
        <v>4.1529493527248995E-2</v>
      </c>
    </row>
    <row r="135" spans="1:3" x14ac:dyDescent="0.45">
      <c r="A135" t="s">
        <v>135</v>
      </c>
      <c r="B135">
        <v>6140.0978461747773</v>
      </c>
      <c r="C135">
        <v>3.7167303200656754E-2</v>
      </c>
    </row>
    <row r="136" spans="1:3" x14ac:dyDescent="0.45">
      <c r="A136" t="s">
        <v>136</v>
      </c>
      <c r="B136">
        <v>4378.7836516146563</v>
      </c>
      <c r="C136">
        <v>3.6173628999556229E-2</v>
      </c>
    </row>
    <row r="137" spans="1:3" x14ac:dyDescent="0.45">
      <c r="A137" t="s">
        <v>137</v>
      </c>
      <c r="B137">
        <v>15577.534189907332</v>
      </c>
      <c r="C137">
        <v>3.869840341542008E-2</v>
      </c>
    </row>
    <row r="138" spans="1:3" x14ac:dyDescent="0.45">
      <c r="A138" t="s">
        <v>138</v>
      </c>
      <c r="B138">
        <v>27927.523283254508</v>
      </c>
      <c r="C138">
        <v>7.5070901997900119E-3</v>
      </c>
    </row>
    <row r="139" spans="1:3" x14ac:dyDescent="0.45">
      <c r="A139" t="s">
        <v>139</v>
      </c>
      <c r="B139">
        <v>7062.1289825668773</v>
      </c>
      <c r="C139">
        <v>3.0369581217095876E-2</v>
      </c>
    </row>
    <row r="140" spans="1:3" x14ac:dyDescent="0.45">
      <c r="A140" t="s">
        <v>140</v>
      </c>
      <c r="B140">
        <v>4491.6004652605461</v>
      </c>
      <c r="C140">
        <v>1.9127301926582518E-2</v>
      </c>
    </row>
    <row r="141" spans="1:3" x14ac:dyDescent="0.45">
      <c r="A141" t="s">
        <v>141</v>
      </c>
      <c r="B141">
        <v>108342.56337552743</v>
      </c>
      <c r="C141">
        <v>-4.226181546174157E-4</v>
      </c>
    </row>
    <row r="142" spans="1:3" x14ac:dyDescent="0.45">
      <c r="A142" t="s">
        <v>142</v>
      </c>
      <c r="B142">
        <v>11482.373295870339</v>
      </c>
      <c r="C142">
        <v>4.8128248602119728E-2</v>
      </c>
    </row>
    <row r="143" spans="1:3" x14ac:dyDescent="0.45">
      <c r="A143" t="s">
        <v>143</v>
      </c>
      <c r="B143">
        <v>14991.803553023157</v>
      </c>
      <c r="C143">
        <v>3.2994540413426865E-2</v>
      </c>
    </row>
    <row r="144" spans="1:3" x14ac:dyDescent="0.45">
      <c r="A144" t="s">
        <v>144</v>
      </c>
      <c r="B144">
        <v>908.34418997441298</v>
      </c>
      <c r="C144">
        <v>5.0860559117182236E-2</v>
      </c>
    </row>
    <row r="145" spans="1:3" x14ac:dyDescent="0.45">
      <c r="A145" t="s">
        <v>145</v>
      </c>
      <c r="B145">
        <v>43002.932664853513</v>
      </c>
      <c r="C145">
        <v>5.9512290736543072E-3</v>
      </c>
    </row>
    <row r="146" spans="1:3" x14ac:dyDescent="0.45">
      <c r="A146" t="s">
        <v>146</v>
      </c>
      <c r="B146">
        <v>2540.8813602199816</v>
      </c>
      <c r="C146">
        <v>2.7594256103375514E-2</v>
      </c>
    </row>
    <row r="147" spans="1:3" x14ac:dyDescent="0.45">
      <c r="A147" t="s">
        <v>147</v>
      </c>
      <c r="B147">
        <v>2376.1459934474415</v>
      </c>
      <c r="C147">
        <v>1.7757332397513981E-2</v>
      </c>
    </row>
    <row r="148" spans="1:3" x14ac:dyDescent="0.45">
      <c r="A148" t="s">
        <v>148</v>
      </c>
      <c r="B148">
        <v>48856.267368264293</v>
      </c>
      <c r="C148">
        <v>2.8581306435061071E-2</v>
      </c>
    </row>
    <row r="149" spans="1:3" x14ac:dyDescent="0.45">
      <c r="A149" t="s">
        <v>149</v>
      </c>
      <c r="B149">
        <v>889.10155738777655</v>
      </c>
      <c r="C149">
        <v>3.8210163659648355E-2</v>
      </c>
    </row>
    <row r="150" spans="1:3" x14ac:dyDescent="0.45">
      <c r="A150" t="s">
        <v>150</v>
      </c>
      <c r="B150">
        <v>6190.7013536235327</v>
      </c>
      <c r="C150">
        <v>1.519119679121661E-2</v>
      </c>
    </row>
    <row r="151" spans="1:3" x14ac:dyDescent="0.45">
      <c r="A151" t="s">
        <v>151</v>
      </c>
      <c r="B151">
        <v>8617.8616606575033</v>
      </c>
      <c r="C151">
        <v>3.8254676180836E-2</v>
      </c>
    </row>
    <row r="152" spans="1:3" x14ac:dyDescent="0.45">
      <c r="A152" t="s">
        <v>152</v>
      </c>
      <c r="B152">
        <v>2628.8404778636682</v>
      </c>
      <c r="C152">
        <v>2.3436819796571307E-2</v>
      </c>
    </row>
    <row r="153" spans="1:3" x14ac:dyDescent="0.45">
      <c r="A153" t="s">
        <v>153</v>
      </c>
      <c r="B153">
        <v>9934.2992142705461</v>
      </c>
      <c r="C153">
        <v>1.7468315254272948E-2</v>
      </c>
    </row>
    <row r="154" spans="1:3" x14ac:dyDescent="0.45">
      <c r="A154" t="s">
        <v>154</v>
      </c>
      <c r="B154">
        <v>13768.619665876426</v>
      </c>
      <c r="C154">
        <v>3.8170527255156017E-2</v>
      </c>
    </row>
    <row r="155" spans="1:3" x14ac:dyDescent="0.45">
      <c r="A155" t="s">
        <v>155</v>
      </c>
      <c r="B155">
        <v>22869.799667957941</v>
      </c>
      <c r="C155">
        <v>2.1078029096605722E-2</v>
      </c>
    </row>
    <row r="156" spans="1:3" x14ac:dyDescent="0.45">
      <c r="A156" t="s">
        <v>156</v>
      </c>
      <c r="B156">
        <v>40030.579377589616</v>
      </c>
      <c r="C156">
        <v>1.4893090472813952E-2</v>
      </c>
    </row>
    <row r="157" spans="1:3" x14ac:dyDescent="0.45">
      <c r="A157" t="s">
        <v>157</v>
      </c>
      <c r="B157">
        <v>5493.9921424308732</v>
      </c>
      <c r="C157">
        <v>2.2726245112034471E-2</v>
      </c>
    </row>
    <row r="158" spans="1:3" x14ac:dyDescent="0.45">
      <c r="A158" t="s">
        <v>159</v>
      </c>
      <c r="B158">
        <v>16292.493827160493</v>
      </c>
      <c r="C158">
        <v>2.2698811274623587E-2</v>
      </c>
    </row>
    <row r="159" spans="1:3" x14ac:dyDescent="0.45">
      <c r="A159" t="s">
        <v>160</v>
      </c>
      <c r="B159">
        <v>9932.0959733833843</v>
      </c>
      <c r="C159">
        <v>-1.6932259261375315E-2</v>
      </c>
    </row>
    <row r="160" spans="1:3" x14ac:dyDescent="0.45">
      <c r="A160" t="s">
        <v>161</v>
      </c>
      <c r="B160">
        <v>12782.891089108913</v>
      </c>
      <c r="C160">
        <v>1.2484397309578288E-2</v>
      </c>
    </row>
    <row r="161" spans="1:3" x14ac:dyDescent="0.45">
      <c r="A161" t="s">
        <v>162</v>
      </c>
      <c r="B161">
        <v>844.70827100063423</v>
      </c>
      <c r="C161">
        <v>3.3036572482139093E-2</v>
      </c>
    </row>
    <row r="162" spans="1:3" x14ac:dyDescent="0.45">
      <c r="A162" t="s">
        <v>163</v>
      </c>
      <c r="B162">
        <v>1289.7649256762245</v>
      </c>
      <c r="C162">
        <v>2.7481822579120907E-2</v>
      </c>
    </row>
    <row r="163" spans="1:3" x14ac:dyDescent="0.45">
      <c r="A163" t="s">
        <v>164</v>
      </c>
      <c r="B163">
        <v>9404.1231021435178</v>
      </c>
      <c r="C163">
        <v>3.3719169141451344E-2</v>
      </c>
    </row>
    <row r="164" spans="1:3" x14ac:dyDescent="0.45">
      <c r="A164" t="s">
        <v>165</v>
      </c>
      <c r="B164">
        <v>1633.1911748146003</v>
      </c>
      <c r="C164">
        <v>5.3516871054910542E-2</v>
      </c>
    </row>
    <row r="165" spans="1:3" x14ac:dyDescent="0.45">
      <c r="A165" t="s">
        <v>166</v>
      </c>
      <c r="B165">
        <v>8015.2866189854076</v>
      </c>
      <c r="C165">
        <v>6.4069037783226035E-2</v>
      </c>
    </row>
    <row r="166" spans="1:3" x14ac:dyDescent="0.45">
      <c r="A166" t="s">
        <v>167</v>
      </c>
      <c r="B166">
        <v>16778.696969696968</v>
      </c>
      <c r="C166">
        <v>2.2461356102786878E-2</v>
      </c>
    </row>
    <row r="167" spans="1:3" x14ac:dyDescent="0.45">
      <c r="A167" t="s">
        <v>168</v>
      </c>
      <c r="B167">
        <v>7539.9380330435506</v>
      </c>
      <c r="C167">
        <v>2.0391713758249663E-2</v>
      </c>
    </row>
    <row r="168" spans="1:3" x14ac:dyDescent="0.45">
      <c r="A168" t="s">
        <v>169</v>
      </c>
      <c r="B168">
        <v>14713.357761360654</v>
      </c>
      <c r="C168">
        <v>3.2231830125593053E-2</v>
      </c>
    </row>
    <row r="169" spans="1:3" x14ac:dyDescent="0.45">
      <c r="A169" t="s">
        <v>170</v>
      </c>
      <c r="B169">
        <v>26201.556830219299</v>
      </c>
      <c r="C169">
        <v>3.2153222546059235E-2</v>
      </c>
    </row>
    <row r="170" spans="1:3" x14ac:dyDescent="0.45">
      <c r="A170" t="s">
        <v>171</v>
      </c>
      <c r="B170">
        <v>1268.1446543003756</v>
      </c>
      <c r="C170">
        <v>3.5925735923741042E-2</v>
      </c>
    </row>
    <row r="171" spans="1:3" x14ac:dyDescent="0.45">
      <c r="A171" t="s">
        <v>172</v>
      </c>
      <c r="B171">
        <v>1164.1753769524148</v>
      </c>
      <c r="C171">
        <v>3.0442956801186138E-2</v>
      </c>
    </row>
    <row r="172" spans="1:3" x14ac:dyDescent="0.45">
      <c r="A172" t="s">
        <v>173</v>
      </c>
      <c r="B172">
        <v>8007.6434955495815</v>
      </c>
      <c r="C172">
        <v>2.6046135986260266E-2</v>
      </c>
    </row>
    <row r="173" spans="1:3" x14ac:dyDescent="0.45">
      <c r="A173" t="s">
        <v>174</v>
      </c>
      <c r="B173">
        <v>12853.978251046781</v>
      </c>
      <c r="C173">
        <v>2.5769410422126438E-2</v>
      </c>
    </row>
    <row r="174" spans="1:3" x14ac:dyDescent="0.45">
      <c r="A174" t="s">
        <v>175</v>
      </c>
      <c r="B174">
        <v>50205.23167545168</v>
      </c>
      <c r="C174">
        <v>1.1587844813178316E-2</v>
      </c>
    </row>
    <row r="175" spans="1:3" x14ac:dyDescent="0.45">
      <c r="A175" t="s">
        <v>176</v>
      </c>
      <c r="B175">
        <v>4601.7671941865165</v>
      </c>
      <c r="C175">
        <v>5.1703806405780428E-2</v>
      </c>
    </row>
    <row r="176" spans="1:3" x14ac:dyDescent="0.45">
      <c r="A176" t="s">
        <v>177</v>
      </c>
      <c r="B176">
        <v>7309.6298701298701</v>
      </c>
      <c r="C176">
        <v>1.9442897814289095E-2</v>
      </c>
    </row>
    <row r="177" spans="1:3" x14ac:dyDescent="0.45">
      <c r="A177" t="s">
        <v>178</v>
      </c>
      <c r="B177">
        <v>551.64406177146543</v>
      </c>
      <c r="C177">
        <v>-4.4145548354034503E-2</v>
      </c>
    </row>
    <row r="178" spans="1:3" x14ac:dyDescent="0.45">
      <c r="A178" t="s">
        <v>179</v>
      </c>
      <c r="B178">
        <v>47314.610837438428</v>
      </c>
      <c r="C178">
        <v>-1.2477366565767922E-2</v>
      </c>
    </row>
    <row r="179" spans="1:3" x14ac:dyDescent="0.45">
      <c r="A179" t="s">
        <v>180</v>
      </c>
      <c r="B179">
        <v>2775.4663347949704</v>
      </c>
      <c r="C179">
        <v>5.509099483456148E-2</v>
      </c>
    </row>
    <row r="180" spans="1:3" x14ac:dyDescent="0.45">
      <c r="A180" t="s">
        <v>181</v>
      </c>
      <c r="B180">
        <v>3390.3827136382702</v>
      </c>
      <c r="C180">
        <v>-4.6424061261885696E-2</v>
      </c>
    </row>
    <row r="181" spans="1:3" x14ac:dyDescent="0.45">
      <c r="A181" t="s">
        <v>182</v>
      </c>
      <c r="B181">
        <v>10115.295256372907</v>
      </c>
      <c r="C181">
        <v>1.1266774227052467E-2</v>
      </c>
    </row>
    <row r="182" spans="1:3" x14ac:dyDescent="0.45">
      <c r="A182" t="s">
        <v>183</v>
      </c>
      <c r="B182">
        <v>1807.6949183459901</v>
      </c>
      <c r="C182">
        <v>2.9679682439401667E-2</v>
      </c>
    </row>
    <row r="183" spans="1:3" x14ac:dyDescent="0.45">
      <c r="A183" t="s">
        <v>184</v>
      </c>
      <c r="B183">
        <v>1833.9984261246475</v>
      </c>
      <c r="C183">
        <v>2.4690861624913518E-2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0167-6C5A-4630-9C83-F41E0FDDC8D5}">
  <dimension ref="A1:K113"/>
  <sheetViews>
    <sheetView workbookViewId="0">
      <selection activeCell="J6" sqref="J6"/>
    </sheetView>
  </sheetViews>
  <sheetFormatPr defaultRowHeight="14.25" x14ac:dyDescent="0.45"/>
  <sheetData>
    <row r="1" spans="1:11" x14ac:dyDescent="0.45">
      <c r="B1" t="s">
        <v>185</v>
      </c>
      <c r="E1" t="s">
        <v>186</v>
      </c>
      <c r="G1" t="s">
        <v>214</v>
      </c>
    </row>
    <row r="2" spans="1:11" x14ac:dyDescent="0.45">
      <c r="B2">
        <v>1960</v>
      </c>
      <c r="C2">
        <v>2000</v>
      </c>
      <c r="D2">
        <v>2019</v>
      </c>
      <c r="E2" t="s">
        <v>187</v>
      </c>
      <c r="F2" t="s">
        <v>188</v>
      </c>
    </row>
    <row r="3" spans="1:11" x14ac:dyDescent="0.45">
      <c r="A3" t="s">
        <v>7</v>
      </c>
      <c r="B3">
        <v>13158.081739731428</v>
      </c>
      <c r="C3">
        <v>18350.664685876083</v>
      </c>
      <c r="D3">
        <v>21785.47901216372</v>
      </c>
      <c r="E3">
        <v>8.5825101337348997E-3</v>
      </c>
      <c r="F3">
        <v>9.0713104045490045E-3</v>
      </c>
      <c r="G3">
        <f>LN(B3)</f>
        <v>9.4847914297965392</v>
      </c>
      <c r="H3">
        <f t="shared" ref="H3:K3" si="0">LN(C3)</f>
        <v>9.8174210754902376</v>
      </c>
      <c r="I3">
        <f t="shared" si="0"/>
        <v>9.9889989264743111</v>
      </c>
      <c r="J3">
        <f t="shared" si="0"/>
        <v>-4.75802885188918</v>
      </c>
      <c r="K3">
        <f t="shared" si="0"/>
        <v>-4.7026385484938356</v>
      </c>
    </row>
    <row r="4" spans="1:11" x14ac:dyDescent="0.45">
      <c r="A4" t="s">
        <v>10</v>
      </c>
      <c r="B4">
        <v>17696.397449856733</v>
      </c>
      <c r="C4">
        <v>41458.739218804301</v>
      </c>
      <c r="D4">
        <v>52205.047374936519</v>
      </c>
      <c r="E4">
        <v>1.8505034749068283E-2</v>
      </c>
      <c r="F4">
        <v>1.2204425459765966E-2</v>
      </c>
      <c r="G4">
        <f t="shared" ref="G4:G67" si="1">LN(B4)</f>
        <v>9.7811163639396845</v>
      </c>
      <c r="H4">
        <f t="shared" ref="H4:H67" si="2">LN(C4)</f>
        <v>10.632453975947175</v>
      </c>
      <c r="I4">
        <f t="shared" ref="I4:I67" si="3">LN(D4)</f>
        <v>10.862934462202709</v>
      </c>
      <c r="J4">
        <f t="shared" ref="J4:J67" si="4">LN(E4)</f>
        <v>-3.9897124353252846</v>
      </c>
      <c r="K4">
        <f t="shared" ref="K4:K67" si="5">LN(F4)</f>
        <v>-4.4059566504143506</v>
      </c>
    </row>
    <row r="5" spans="1:11" x14ac:dyDescent="0.45">
      <c r="A5" t="s">
        <v>11</v>
      </c>
      <c r="B5">
        <v>13843.302207561532</v>
      </c>
      <c r="C5">
        <v>44299.02145167486</v>
      </c>
      <c r="D5">
        <v>53234.839644448417</v>
      </c>
      <c r="E5">
        <v>2.3091585327341679E-2</v>
      </c>
      <c r="F5">
        <v>9.7179936162627989E-3</v>
      </c>
      <c r="G5">
        <f t="shared" si="1"/>
        <v>9.5355567995237411</v>
      </c>
      <c r="H5">
        <f t="shared" si="2"/>
        <v>10.69871786666228</v>
      </c>
      <c r="I5">
        <f t="shared" si="3"/>
        <v>10.882468341523797</v>
      </c>
      <c r="J5">
        <f t="shared" si="4"/>
        <v>-3.7682869993610346</v>
      </c>
      <c r="K5">
        <f t="shared" si="5"/>
        <v>-4.6337760998968927</v>
      </c>
    </row>
    <row r="6" spans="1:11" x14ac:dyDescent="0.45">
      <c r="A6" t="s">
        <v>13</v>
      </c>
      <c r="B6">
        <v>697.95552279591539</v>
      </c>
      <c r="C6">
        <v>797.31822100989211</v>
      </c>
      <c r="D6">
        <v>802.27185055417772</v>
      </c>
      <c r="E6">
        <v>2.3636727481011199E-3</v>
      </c>
      <c r="F6">
        <v>3.2603437813150116E-4</v>
      </c>
      <c r="G6">
        <f t="shared" si="1"/>
        <v>6.5481553798093506</v>
      </c>
      <c r="H6">
        <f t="shared" si="2"/>
        <v>6.6812538726398802</v>
      </c>
      <c r="I6">
        <f t="shared" si="3"/>
        <v>6.68744751620887</v>
      </c>
      <c r="J6">
        <f t="shared" si="4"/>
        <v>-6.0475386204501058</v>
      </c>
      <c r="K6">
        <f t="shared" si="5"/>
        <v>-8.0285077277663817</v>
      </c>
    </row>
    <row r="7" spans="1:11" x14ac:dyDescent="0.45">
      <c r="A7" t="s">
        <v>14</v>
      </c>
      <c r="B7">
        <v>12673.348794083437</v>
      </c>
      <c r="C7">
        <v>38553.312225248003</v>
      </c>
      <c r="D7">
        <v>46285.503670066639</v>
      </c>
      <c r="E7">
        <v>2.2197482173478944E-2</v>
      </c>
      <c r="F7">
        <v>9.6667822824061389E-3</v>
      </c>
      <c r="G7">
        <f t="shared" si="1"/>
        <v>9.4472565473170249</v>
      </c>
      <c r="H7">
        <f t="shared" si="2"/>
        <v>10.55979729554044</v>
      </c>
      <c r="I7">
        <f t="shared" si="3"/>
        <v>10.742584095370734</v>
      </c>
      <c r="J7">
        <f t="shared" si="4"/>
        <v>-3.8077764121449964</v>
      </c>
      <c r="K7">
        <f t="shared" si="5"/>
        <v>-4.6390597774863851</v>
      </c>
    </row>
    <row r="8" spans="1:11" x14ac:dyDescent="0.45">
      <c r="A8" t="s">
        <v>15</v>
      </c>
      <c r="B8">
        <v>1098.461174822726</v>
      </c>
      <c r="C8">
        <v>1779.7985289833966</v>
      </c>
      <c r="D8">
        <v>3315.929337694472</v>
      </c>
      <c r="E8">
        <v>1.8902321596529825E-2</v>
      </c>
      <c r="F8">
        <v>3.3291518006099086E-2</v>
      </c>
      <c r="G8">
        <f t="shared" si="1"/>
        <v>7.0016655473882468</v>
      </c>
      <c r="H8">
        <f t="shared" si="2"/>
        <v>7.4842554509157324</v>
      </c>
      <c r="I8">
        <f t="shared" si="3"/>
        <v>8.1064932065270714</v>
      </c>
      <c r="J8">
        <f t="shared" si="4"/>
        <v>-3.9684705286650099</v>
      </c>
      <c r="K8">
        <f t="shared" si="5"/>
        <v>-3.4024526289725538</v>
      </c>
    </row>
    <row r="9" spans="1:11" x14ac:dyDescent="0.45">
      <c r="A9" t="s">
        <v>16</v>
      </c>
      <c r="B9">
        <v>744.54799325594468</v>
      </c>
      <c r="C9">
        <v>1217.5816814410875</v>
      </c>
      <c r="D9">
        <v>2045.3257551152972</v>
      </c>
      <c r="E9">
        <v>1.7275232757421266E-2</v>
      </c>
      <c r="F9">
        <v>2.7675540475651017E-2</v>
      </c>
      <c r="G9">
        <f t="shared" si="1"/>
        <v>6.6127773137884001</v>
      </c>
      <c r="H9">
        <f t="shared" si="2"/>
        <v>7.1046219421856787</v>
      </c>
      <c r="I9">
        <f t="shared" si="3"/>
        <v>7.6233123492459596</v>
      </c>
      <c r="J9">
        <f t="shared" si="4"/>
        <v>-4.0584814357623697</v>
      </c>
      <c r="K9">
        <f t="shared" si="5"/>
        <v>-3.5872062711959818</v>
      </c>
    </row>
    <row r="10" spans="1:11" x14ac:dyDescent="0.45">
      <c r="A10" t="s">
        <v>17</v>
      </c>
      <c r="B10">
        <v>1521.3614470786347</v>
      </c>
      <c r="C10">
        <v>1884.4727047836445</v>
      </c>
      <c r="D10">
        <v>4698.8848099495726</v>
      </c>
      <c r="E10">
        <v>1.9297731090926362E-2</v>
      </c>
      <c r="F10">
        <v>4.9263271170562728E-2</v>
      </c>
      <c r="G10">
        <f t="shared" si="1"/>
        <v>7.3273609018179346</v>
      </c>
      <c r="H10">
        <f t="shared" si="2"/>
        <v>7.5414033285394906</v>
      </c>
      <c r="I10">
        <f t="shared" si="3"/>
        <v>8.4550804850652934</v>
      </c>
      <c r="J10">
        <f t="shared" si="4"/>
        <v>-3.9477677500376509</v>
      </c>
      <c r="K10">
        <f t="shared" si="5"/>
        <v>-3.0105764822711807</v>
      </c>
    </row>
    <row r="11" spans="1:11" x14ac:dyDescent="0.45">
      <c r="A11" t="s">
        <v>25</v>
      </c>
      <c r="B11">
        <v>4499.0070845917189</v>
      </c>
      <c r="C11">
        <v>5256.823301616716</v>
      </c>
      <c r="D11">
        <v>8468.8331900183275</v>
      </c>
      <c r="E11">
        <v>1.0778624740136911E-2</v>
      </c>
      <c r="F11">
        <v>2.5415813137628529E-2</v>
      </c>
      <c r="G11">
        <f t="shared" si="1"/>
        <v>8.4116120035435813</v>
      </c>
      <c r="H11">
        <f t="shared" si="2"/>
        <v>8.5672821882356658</v>
      </c>
      <c r="I11">
        <f t="shared" si="3"/>
        <v>9.0441480201894606</v>
      </c>
      <c r="J11">
        <f t="shared" si="4"/>
        <v>-4.5301902967661309</v>
      </c>
      <c r="K11">
        <f t="shared" si="5"/>
        <v>-3.672383734196949</v>
      </c>
    </row>
    <row r="12" spans="1:11" x14ac:dyDescent="0.45">
      <c r="A12" t="s">
        <v>26</v>
      </c>
      <c r="B12">
        <v>4007.6590605175752</v>
      </c>
      <c r="C12">
        <v>11475.357900295383</v>
      </c>
      <c r="D12">
        <v>14414.244051750893</v>
      </c>
      <c r="E12">
        <v>2.1932127204829399E-2</v>
      </c>
      <c r="F12">
        <v>1.2073084829683278E-2</v>
      </c>
      <c r="G12">
        <f t="shared" si="1"/>
        <v>8.2959625744053671</v>
      </c>
      <c r="H12">
        <f t="shared" si="2"/>
        <v>9.347957224010587</v>
      </c>
      <c r="I12">
        <f t="shared" si="3"/>
        <v>9.5759721669180493</v>
      </c>
      <c r="J12">
        <f t="shared" si="4"/>
        <v>-3.8198027214922905</v>
      </c>
      <c r="K12">
        <f t="shared" si="5"/>
        <v>-4.4167766982602101</v>
      </c>
    </row>
    <row r="13" spans="1:11" x14ac:dyDescent="0.45">
      <c r="A13" t="s">
        <v>27</v>
      </c>
      <c r="B13">
        <v>4143.8425806451614</v>
      </c>
      <c r="C13">
        <v>11329.919705340699</v>
      </c>
      <c r="D13">
        <v>11690.258536585368</v>
      </c>
      <c r="E13">
        <v>1.7733926209340334E-2</v>
      </c>
      <c r="F13">
        <v>1.6491954388555552E-3</v>
      </c>
      <c r="G13">
        <f t="shared" si="1"/>
        <v>8.3293787959217322</v>
      </c>
      <c r="H13">
        <f t="shared" si="2"/>
        <v>9.3352022670896755</v>
      </c>
      <c r="I13">
        <f t="shared" si="3"/>
        <v>9.3665111702682111</v>
      </c>
      <c r="J13">
        <f t="shared" si="4"/>
        <v>-4.0322757390039756</v>
      </c>
      <c r="K13">
        <f t="shared" si="5"/>
        <v>-6.4074677228062518</v>
      </c>
    </row>
    <row r="14" spans="1:11" x14ac:dyDescent="0.45">
      <c r="A14" t="s">
        <v>30</v>
      </c>
      <c r="B14">
        <v>822.38565274395955</v>
      </c>
      <c r="C14">
        <v>10746.980892107345</v>
      </c>
      <c r="D14">
        <v>16690.04110778313</v>
      </c>
      <c r="E14">
        <v>5.2347115372350927E-2</v>
      </c>
      <c r="F14">
        <v>2.343821136781532E-2</v>
      </c>
      <c r="G14">
        <f t="shared" si="1"/>
        <v>6.7122094489552904</v>
      </c>
      <c r="H14">
        <f t="shared" si="2"/>
        <v>9.2823801468650071</v>
      </c>
      <c r="I14">
        <f t="shared" si="3"/>
        <v>9.7225674796716088</v>
      </c>
      <c r="J14">
        <f t="shared" si="4"/>
        <v>-2.9498584459087129</v>
      </c>
      <c r="K14">
        <f t="shared" si="5"/>
        <v>-3.7533876240186572</v>
      </c>
    </row>
    <row r="15" spans="1:11" x14ac:dyDescent="0.45">
      <c r="A15" t="s">
        <v>31</v>
      </c>
      <c r="B15">
        <v>1889.2777162629757</v>
      </c>
      <c r="C15">
        <v>1250.8867157455225</v>
      </c>
      <c r="D15">
        <v>960.6326392986598</v>
      </c>
      <c r="E15">
        <v>-1.1398233909264088E-2</v>
      </c>
      <c r="F15">
        <v>-1.3799475033671627E-2</v>
      </c>
      <c r="G15">
        <f t="shared" si="1"/>
        <v>7.5439498743042552</v>
      </c>
      <c r="H15">
        <f t="shared" si="2"/>
        <v>7.1316079514069486</v>
      </c>
      <c r="I15">
        <f t="shared" si="3"/>
        <v>6.8675920666866501</v>
      </c>
      <c r="J15" t="e">
        <f t="shared" si="4"/>
        <v>#NUM!</v>
      </c>
      <c r="K15" t="e">
        <f t="shared" si="5"/>
        <v>#NUM!</v>
      </c>
    </row>
    <row r="16" spans="1:11" x14ac:dyDescent="0.45">
      <c r="A16" t="s">
        <v>32</v>
      </c>
      <c r="B16">
        <v>17293.200910240485</v>
      </c>
      <c r="C16">
        <v>42187.295674177141</v>
      </c>
      <c r="D16">
        <v>50097.224078479587</v>
      </c>
      <c r="E16">
        <v>1.8191488556188462E-2</v>
      </c>
      <c r="F16">
        <v>9.0855767882069838E-3</v>
      </c>
      <c r="G16">
        <f t="shared" si="1"/>
        <v>9.7580686922680613</v>
      </c>
      <c r="H16">
        <f t="shared" si="2"/>
        <v>10.649874404324393</v>
      </c>
      <c r="I16">
        <f t="shared" si="3"/>
        <v>10.82172087792272</v>
      </c>
      <c r="J16">
        <f t="shared" si="4"/>
        <v>-4.0068014560351353</v>
      </c>
      <c r="K16">
        <f t="shared" si="5"/>
        <v>-4.70106709117933</v>
      </c>
    </row>
    <row r="17" spans="1:11" x14ac:dyDescent="0.45">
      <c r="A17" t="s">
        <v>33</v>
      </c>
      <c r="B17">
        <v>34262.172576293087</v>
      </c>
      <c r="C17">
        <v>63663.364567877041</v>
      </c>
      <c r="D17">
        <v>75454.204204204201</v>
      </c>
      <c r="E17">
        <v>1.3471012123464465E-2</v>
      </c>
      <c r="F17">
        <v>8.9830885965789253E-3</v>
      </c>
      <c r="G17">
        <f t="shared" si="1"/>
        <v>10.44179718423683</v>
      </c>
      <c r="H17">
        <f t="shared" si="2"/>
        <v>11.061364551589584</v>
      </c>
      <c r="I17">
        <f t="shared" si="3"/>
        <v>11.231281184369299</v>
      </c>
      <c r="J17">
        <f t="shared" si="4"/>
        <v>-4.3072151522984425</v>
      </c>
      <c r="K17">
        <f t="shared" si="5"/>
        <v>-4.7124115140898457</v>
      </c>
    </row>
    <row r="18" spans="1:11" x14ac:dyDescent="0.45">
      <c r="A18" t="s">
        <v>34</v>
      </c>
      <c r="B18">
        <v>5918.3736270672889</v>
      </c>
      <c r="C18">
        <v>14743.493723276673</v>
      </c>
      <c r="D18">
        <v>23407.356416209368</v>
      </c>
      <c r="E18">
        <v>2.3578573514583701E-2</v>
      </c>
      <c r="F18">
        <v>2.4627228288073733E-2</v>
      </c>
      <c r="G18">
        <f t="shared" si="1"/>
        <v>8.6858169649766293</v>
      </c>
      <c r="H18">
        <f t="shared" si="2"/>
        <v>9.5985571609465303</v>
      </c>
      <c r="I18">
        <f t="shared" si="3"/>
        <v>10.060805628700857</v>
      </c>
      <c r="J18">
        <f t="shared" si="4"/>
        <v>-3.7474168812675712</v>
      </c>
      <c r="K18">
        <f t="shared" si="5"/>
        <v>-3.703902607162068</v>
      </c>
    </row>
    <row r="19" spans="1:11" x14ac:dyDescent="0.45">
      <c r="A19" t="s">
        <v>35</v>
      </c>
      <c r="B19">
        <v>1050.9126034821245</v>
      </c>
      <c r="C19">
        <v>4619.9289481669375</v>
      </c>
      <c r="D19">
        <v>14348.472506696791</v>
      </c>
      <c r="E19">
        <v>4.5300938118628453E-2</v>
      </c>
      <c r="F19">
        <v>6.1460173499586324E-2</v>
      </c>
      <c r="G19">
        <f t="shared" si="1"/>
        <v>6.9574142118361983</v>
      </c>
      <c r="H19">
        <f t="shared" si="2"/>
        <v>8.4381346047728787</v>
      </c>
      <c r="I19">
        <f t="shared" si="3"/>
        <v>9.5713987699956835</v>
      </c>
      <c r="J19">
        <f t="shared" si="4"/>
        <v>-3.094427537687082</v>
      </c>
      <c r="K19">
        <f t="shared" si="5"/>
        <v>-2.7893658993162216</v>
      </c>
    </row>
    <row r="20" spans="1:11" x14ac:dyDescent="0.45">
      <c r="A20" t="s">
        <v>36</v>
      </c>
      <c r="B20">
        <v>2506.6849009295502</v>
      </c>
      <c r="C20">
        <v>2788.8788066631423</v>
      </c>
      <c r="D20">
        <v>4908.4142243306824</v>
      </c>
      <c r="E20">
        <v>1.1454766690012885E-2</v>
      </c>
      <c r="F20">
        <v>3.0200274498500601E-2</v>
      </c>
      <c r="G20">
        <f t="shared" si="1"/>
        <v>7.8267164025563192</v>
      </c>
      <c r="H20">
        <f t="shared" si="2"/>
        <v>7.933394932636415</v>
      </c>
      <c r="I20">
        <f t="shared" si="3"/>
        <v>8.4987062000548974</v>
      </c>
      <c r="J20">
        <f t="shared" si="4"/>
        <v>-4.4693493308080727</v>
      </c>
      <c r="K20">
        <f t="shared" si="5"/>
        <v>-3.4999042652882966</v>
      </c>
    </row>
    <row r="21" spans="1:11" x14ac:dyDescent="0.45">
      <c r="A21" t="s">
        <v>37</v>
      </c>
      <c r="B21">
        <v>2572.0323019756447</v>
      </c>
      <c r="C21">
        <v>2724.8200581414085</v>
      </c>
      <c r="D21">
        <v>3612.9192546103786</v>
      </c>
      <c r="E21">
        <v>5.7762752882171142E-3</v>
      </c>
      <c r="F21">
        <v>1.4958870561945448E-2</v>
      </c>
      <c r="G21">
        <f t="shared" si="1"/>
        <v>7.8524516443671537</v>
      </c>
      <c r="H21">
        <f t="shared" si="2"/>
        <v>7.9101576712074486</v>
      </c>
      <c r="I21">
        <f t="shared" si="3"/>
        <v>8.1922713823261883</v>
      </c>
      <c r="J21">
        <f t="shared" si="4"/>
        <v>-5.1539962178249379</v>
      </c>
      <c r="K21">
        <f t="shared" si="5"/>
        <v>-4.2024508064820223</v>
      </c>
    </row>
    <row r="22" spans="1:11" x14ac:dyDescent="0.45">
      <c r="A22" t="s">
        <v>38</v>
      </c>
      <c r="B22">
        <v>2778.1777703512944</v>
      </c>
      <c r="C22">
        <v>714.01264175536778</v>
      </c>
      <c r="D22">
        <v>1043.0910720746256</v>
      </c>
      <c r="E22">
        <v>-1.6466425684629971E-2</v>
      </c>
      <c r="F22">
        <v>2.0149960807276823E-2</v>
      </c>
      <c r="G22">
        <f t="shared" si="1"/>
        <v>7.9295505134739646</v>
      </c>
      <c r="H22">
        <f t="shared" si="2"/>
        <v>6.5709006677225741</v>
      </c>
      <c r="I22">
        <f t="shared" si="3"/>
        <v>6.9499437686141645</v>
      </c>
      <c r="J22" t="e">
        <f t="shared" si="4"/>
        <v>#NUM!</v>
      </c>
      <c r="K22">
        <f t="shared" si="5"/>
        <v>-3.9045529356396331</v>
      </c>
    </row>
    <row r="23" spans="1:11" x14ac:dyDescent="0.45">
      <c r="A23" t="s">
        <v>39</v>
      </c>
      <c r="B23">
        <v>1983.0448760884128</v>
      </c>
      <c r="C23">
        <v>4044.030120867174</v>
      </c>
      <c r="D23">
        <v>3597.4722051853919</v>
      </c>
      <c r="E23">
        <v>1.0146005771224598E-2</v>
      </c>
      <c r="F23">
        <v>-6.1395133651050982E-3</v>
      </c>
      <c r="G23">
        <f t="shared" si="1"/>
        <v>7.5923887586663614</v>
      </c>
      <c r="H23">
        <f t="shared" si="2"/>
        <v>8.3049970283982741</v>
      </c>
      <c r="I23">
        <f t="shared" si="3"/>
        <v>8.1879867125844612</v>
      </c>
      <c r="J23">
        <f t="shared" si="4"/>
        <v>-4.5906751710200799</v>
      </c>
      <c r="K23" t="e">
        <f t="shared" si="5"/>
        <v>#NUM!</v>
      </c>
    </row>
    <row r="24" spans="1:11" x14ac:dyDescent="0.45">
      <c r="A24" t="s">
        <v>40</v>
      </c>
      <c r="B24">
        <v>4118.7254960820001</v>
      </c>
      <c r="C24">
        <v>8577.5517284885191</v>
      </c>
      <c r="D24">
        <v>13817.892893042032</v>
      </c>
      <c r="E24">
        <v>2.0727494389563228E-2</v>
      </c>
      <c r="F24">
        <v>2.5413113619018102E-2</v>
      </c>
      <c r="G24">
        <f t="shared" si="1"/>
        <v>8.3232990488751835</v>
      </c>
      <c r="H24">
        <f t="shared" si="2"/>
        <v>9.056903805432988</v>
      </c>
      <c r="I24">
        <f t="shared" si="3"/>
        <v>9.5337196177552777</v>
      </c>
      <c r="J24">
        <f t="shared" si="4"/>
        <v>-3.876294228649936</v>
      </c>
      <c r="K24">
        <f t="shared" si="5"/>
        <v>-3.6724899539731757</v>
      </c>
    </row>
    <row r="25" spans="1:11" x14ac:dyDescent="0.45">
      <c r="A25" t="s">
        <v>41</v>
      </c>
      <c r="B25">
        <v>1901.2756878158339</v>
      </c>
      <c r="C25">
        <v>2982.6948746312682</v>
      </c>
      <c r="D25">
        <v>3214.4818427547302</v>
      </c>
      <c r="E25">
        <v>8.9404256036216267E-3</v>
      </c>
      <c r="F25">
        <v>3.9466604666724692E-3</v>
      </c>
      <c r="G25">
        <f t="shared" si="1"/>
        <v>7.5502803544964747</v>
      </c>
      <c r="H25">
        <f t="shared" si="2"/>
        <v>8.0005824911942192</v>
      </c>
      <c r="I25">
        <f t="shared" si="3"/>
        <v>8.0754214550216066</v>
      </c>
      <c r="J25">
        <f t="shared" si="4"/>
        <v>-4.71717208426079</v>
      </c>
      <c r="K25">
        <f t="shared" si="5"/>
        <v>-5.5348855091400964</v>
      </c>
    </row>
    <row r="26" spans="1:11" x14ac:dyDescent="0.45">
      <c r="A26" t="s">
        <v>42</v>
      </c>
      <c r="B26">
        <v>1545.6520854526959</v>
      </c>
      <c r="C26">
        <v>4453.4787482484817</v>
      </c>
      <c r="D26">
        <v>7438.8099654482621</v>
      </c>
      <c r="E26">
        <v>2.6989400653039786E-2</v>
      </c>
      <c r="F26">
        <v>2.7369173663116531E-2</v>
      </c>
      <c r="G26">
        <f t="shared" si="1"/>
        <v>7.343201162070506</v>
      </c>
      <c r="H26">
        <f t="shared" si="2"/>
        <v>8.4014408109392367</v>
      </c>
      <c r="I26">
        <f t="shared" si="3"/>
        <v>8.914466164153021</v>
      </c>
      <c r="J26">
        <f t="shared" si="4"/>
        <v>-3.6123110584588907</v>
      </c>
      <c r="K26">
        <f t="shared" si="5"/>
        <v>-3.5983379477219435</v>
      </c>
    </row>
    <row r="27" spans="1:11" x14ac:dyDescent="0.45">
      <c r="A27" t="s">
        <v>43</v>
      </c>
      <c r="B27">
        <v>5347.3460293564167</v>
      </c>
      <c r="C27">
        <v>11445.701897839694</v>
      </c>
      <c r="D27">
        <v>18630.374772168951</v>
      </c>
      <c r="E27">
        <v>2.1381183108232449E-2</v>
      </c>
      <c r="F27">
        <v>2.5972559368250714E-2</v>
      </c>
      <c r="G27">
        <f t="shared" si="1"/>
        <v>8.584355647527806</v>
      </c>
      <c r="H27">
        <f t="shared" si="2"/>
        <v>9.3453695584083025</v>
      </c>
      <c r="I27">
        <f t="shared" si="3"/>
        <v>9.8325485799885186</v>
      </c>
      <c r="J27">
        <f t="shared" si="4"/>
        <v>-3.8452440377678974</v>
      </c>
      <c r="K27">
        <f t="shared" si="5"/>
        <v>-3.6507147072102559</v>
      </c>
    </row>
    <row r="28" spans="1:11" x14ac:dyDescent="0.45">
      <c r="A28" t="s">
        <v>46</v>
      </c>
      <c r="B28">
        <v>3975.0950882712805</v>
      </c>
      <c r="C28">
        <v>27079.714821222606</v>
      </c>
      <c r="D28">
        <v>33042.944041450777</v>
      </c>
      <c r="E28">
        <v>3.6546201874018136E-2</v>
      </c>
      <c r="F28">
        <v>1.052995558208436E-2</v>
      </c>
      <c r="G28">
        <f t="shared" si="1"/>
        <v>8.287803948379997</v>
      </c>
      <c r="H28">
        <f t="shared" si="2"/>
        <v>10.206540195996705</v>
      </c>
      <c r="I28">
        <f t="shared" si="3"/>
        <v>10.405563329036053</v>
      </c>
      <c r="J28">
        <f t="shared" si="4"/>
        <v>-3.309178014081517</v>
      </c>
      <c r="K28">
        <f t="shared" si="5"/>
        <v>-4.5535311710707562</v>
      </c>
    </row>
    <row r="29" spans="1:11" x14ac:dyDescent="0.45">
      <c r="A29" t="s">
        <v>48</v>
      </c>
      <c r="B29">
        <v>14927.561229187815</v>
      </c>
      <c r="C29">
        <v>41903.03178466086</v>
      </c>
      <c r="D29">
        <v>51654.962462732139</v>
      </c>
      <c r="E29">
        <v>2.12631959174443E-2</v>
      </c>
      <c r="F29">
        <v>1.1072859911475108E-2</v>
      </c>
      <c r="G29">
        <f t="shared" si="1"/>
        <v>9.610964530183816</v>
      </c>
      <c r="H29">
        <f t="shared" si="2"/>
        <v>10.643113460921679</v>
      </c>
      <c r="I29">
        <f t="shared" si="3"/>
        <v>10.852341548591426</v>
      </c>
      <c r="J29">
        <f t="shared" si="4"/>
        <v>-3.8507775919923883</v>
      </c>
      <c r="K29">
        <f t="shared" si="5"/>
        <v>-4.5032582177076046</v>
      </c>
    </row>
    <row r="30" spans="1:11" x14ac:dyDescent="0.45">
      <c r="A30" t="s">
        <v>51</v>
      </c>
      <c r="B30">
        <v>16538.256081862412</v>
      </c>
      <c r="C30">
        <v>45378.835748520934</v>
      </c>
      <c r="D30">
        <v>53927.416673885549</v>
      </c>
      <c r="E30">
        <v>2.0235279734800216E-2</v>
      </c>
      <c r="F30">
        <v>9.1252351469819359E-3</v>
      </c>
      <c r="G30">
        <f t="shared" si="1"/>
        <v>9.7134315266139417</v>
      </c>
      <c r="H30">
        <f t="shared" si="2"/>
        <v>10.722801102396986</v>
      </c>
      <c r="I30">
        <f t="shared" si="3"/>
        <v>10.895394285716977</v>
      </c>
      <c r="J30">
        <f t="shared" si="4"/>
        <v>-3.9003276764454293</v>
      </c>
      <c r="K30">
        <f t="shared" si="5"/>
        <v>-4.6967116103133435</v>
      </c>
    </row>
    <row r="31" spans="1:11" x14ac:dyDescent="0.45">
      <c r="A31" t="s">
        <v>52</v>
      </c>
      <c r="B31">
        <v>2937.4496152325337</v>
      </c>
      <c r="C31">
        <v>8981.4948709170967</v>
      </c>
      <c r="D31">
        <v>18216.582083992922</v>
      </c>
      <c r="E31">
        <v>3.1411913617864551E-2</v>
      </c>
      <c r="F31">
        <v>3.7920570772675077E-2</v>
      </c>
      <c r="G31">
        <f t="shared" si="1"/>
        <v>7.9852970060440471</v>
      </c>
      <c r="H31">
        <f t="shared" si="2"/>
        <v>9.1029216141367559</v>
      </c>
      <c r="I31">
        <f t="shared" si="3"/>
        <v>9.810087561778106</v>
      </c>
      <c r="J31">
        <f t="shared" si="4"/>
        <v>-3.4605680434457673</v>
      </c>
      <c r="K31">
        <f t="shared" si="5"/>
        <v>-3.2722615496865743</v>
      </c>
    </row>
    <row r="32" spans="1:11" x14ac:dyDescent="0.45">
      <c r="A32" t="s">
        <v>53</v>
      </c>
      <c r="B32">
        <v>6475.87814740262</v>
      </c>
      <c r="C32">
        <v>8466.3669553060008</v>
      </c>
      <c r="D32">
        <v>11187.977753053787</v>
      </c>
      <c r="E32">
        <v>9.3101155078625375E-3</v>
      </c>
      <c r="F32">
        <v>1.4778575929089488E-2</v>
      </c>
      <c r="G32">
        <f t="shared" si="1"/>
        <v>8.7758394985924948</v>
      </c>
      <c r="H32">
        <f t="shared" si="2"/>
        <v>9.0438567647323538</v>
      </c>
      <c r="I32">
        <f t="shared" si="3"/>
        <v>9.3225950658548911</v>
      </c>
      <c r="J32">
        <f t="shared" si="4"/>
        <v>-4.6766537809105619</v>
      </c>
      <c r="K32">
        <f t="shared" si="5"/>
        <v>-4.2145767193159651</v>
      </c>
    </row>
    <row r="33" spans="1:11" x14ac:dyDescent="0.45">
      <c r="A33" t="s">
        <v>54</v>
      </c>
      <c r="B33">
        <v>4732.7702484100428</v>
      </c>
      <c r="C33">
        <v>8032.2062675950829</v>
      </c>
      <c r="D33">
        <v>11174.754260750446</v>
      </c>
      <c r="E33">
        <v>1.4668343694687724E-2</v>
      </c>
      <c r="F33">
        <v>1.7530727810695312E-2</v>
      </c>
      <c r="G33">
        <f t="shared" si="1"/>
        <v>8.4622659862412384</v>
      </c>
      <c r="H33">
        <f t="shared" si="2"/>
        <v>8.9912145223282458</v>
      </c>
      <c r="I33">
        <f t="shared" si="3"/>
        <v>9.3214124291505378</v>
      </c>
      <c r="J33">
        <f t="shared" si="4"/>
        <v>-4.2220635974490097</v>
      </c>
      <c r="K33">
        <f t="shared" si="5"/>
        <v>-4.0438000629019824</v>
      </c>
    </row>
    <row r="34" spans="1:11" x14ac:dyDescent="0.45">
      <c r="A34" t="s">
        <v>55</v>
      </c>
      <c r="B34">
        <v>1876.8049249767196</v>
      </c>
      <c r="C34">
        <v>8380.3033417790666</v>
      </c>
      <c r="D34">
        <v>12826.111859871839</v>
      </c>
      <c r="E34">
        <v>3.3111150491538011E-2</v>
      </c>
      <c r="F34">
        <v>2.2652708329851334E-2</v>
      </c>
      <c r="G34">
        <f t="shared" si="1"/>
        <v>7.5373261020308489</v>
      </c>
      <c r="H34">
        <f t="shared" si="2"/>
        <v>9.0336393911239767</v>
      </c>
      <c r="I34">
        <f t="shared" si="3"/>
        <v>9.4592383610080493</v>
      </c>
      <c r="J34">
        <f t="shared" si="4"/>
        <v>-3.4078851804719075</v>
      </c>
      <c r="K34">
        <f t="shared" si="5"/>
        <v>-3.7874758611395136</v>
      </c>
    </row>
    <row r="35" spans="1:11" x14ac:dyDescent="0.45">
      <c r="A35" t="s">
        <v>56</v>
      </c>
      <c r="B35">
        <v>8581.5529597556742</v>
      </c>
      <c r="C35">
        <v>34053.801243361879</v>
      </c>
      <c r="D35">
        <v>40574.35200955136</v>
      </c>
      <c r="E35">
        <v>2.6680588667251204E-2</v>
      </c>
      <c r="F35">
        <v>9.2634042754768942E-3</v>
      </c>
      <c r="G35">
        <f t="shared" si="1"/>
        <v>9.0573701737444328</v>
      </c>
      <c r="H35">
        <f t="shared" si="2"/>
        <v>10.435696942449839</v>
      </c>
      <c r="I35">
        <f t="shared" si="3"/>
        <v>10.610891422065528</v>
      </c>
      <c r="J35">
        <f t="shared" si="4"/>
        <v>-3.6238189941881953</v>
      </c>
      <c r="K35">
        <f t="shared" si="5"/>
        <v>-4.6816836655433427</v>
      </c>
    </row>
    <row r="36" spans="1:11" x14ac:dyDescent="0.45">
      <c r="A36" t="s">
        <v>58</v>
      </c>
      <c r="B36">
        <v>667.87372075160806</v>
      </c>
      <c r="C36">
        <v>729.4098796825358</v>
      </c>
      <c r="D36">
        <v>2225.5541757711321</v>
      </c>
      <c r="E36">
        <v>2.0610576710066164E-2</v>
      </c>
      <c r="F36">
        <v>6.046963679554751E-2</v>
      </c>
      <c r="G36">
        <f t="shared" si="1"/>
        <v>6.504099114875177</v>
      </c>
      <c r="H36">
        <f t="shared" si="2"/>
        <v>6.5922358232273721</v>
      </c>
      <c r="I36">
        <f t="shared" si="3"/>
        <v>7.7077612313504211</v>
      </c>
      <c r="J36">
        <f t="shared" si="4"/>
        <v>-3.8819509024204994</v>
      </c>
      <c r="K36">
        <f t="shared" si="5"/>
        <v>-2.8056139110727929</v>
      </c>
    </row>
    <row r="37" spans="1:11" x14ac:dyDescent="0.45">
      <c r="A37" t="s">
        <v>59</v>
      </c>
      <c r="B37">
        <v>10779.835595436714</v>
      </c>
      <c r="C37">
        <v>36665.035292983812</v>
      </c>
      <c r="D37">
        <v>44832.511821698419</v>
      </c>
      <c r="E37">
        <v>2.4451027273755033E-2</v>
      </c>
      <c r="F37">
        <v>1.0640953467379255E-2</v>
      </c>
      <c r="G37">
        <f t="shared" si="1"/>
        <v>9.2854325934595607</v>
      </c>
      <c r="H37">
        <f t="shared" si="2"/>
        <v>10.509578863107112</v>
      </c>
      <c r="I37">
        <f t="shared" si="3"/>
        <v>10.710688865508452</v>
      </c>
      <c r="J37">
        <f t="shared" si="4"/>
        <v>-3.7110830486573692</v>
      </c>
      <c r="K37">
        <f t="shared" si="5"/>
        <v>-4.5430451874877233</v>
      </c>
    </row>
    <row r="38" spans="1:11" x14ac:dyDescent="0.45">
      <c r="A38" t="s">
        <v>60</v>
      </c>
      <c r="B38">
        <v>4558.4717557251906</v>
      </c>
      <c r="C38">
        <v>9514.098150431566</v>
      </c>
      <c r="D38">
        <v>13532.576629213483</v>
      </c>
      <c r="E38">
        <v>1.8613698424823744E-2</v>
      </c>
      <c r="F38">
        <v>1.8716425878392062E-2</v>
      </c>
      <c r="G38">
        <f t="shared" si="1"/>
        <v>8.424742705047704</v>
      </c>
      <c r="H38">
        <f t="shared" si="2"/>
        <v>9.1605299933602407</v>
      </c>
      <c r="I38">
        <f t="shared" si="3"/>
        <v>9.5128551412609372</v>
      </c>
      <c r="J38">
        <f t="shared" si="4"/>
        <v>-3.9838574948743224</v>
      </c>
      <c r="K38">
        <f t="shared" si="5"/>
        <v>-3.9783537514608156</v>
      </c>
    </row>
    <row r="39" spans="1:11" x14ac:dyDescent="0.45">
      <c r="A39" t="s">
        <v>61</v>
      </c>
      <c r="B39">
        <v>12699.275032014637</v>
      </c>
      <c r="C39">
        <v>38248.537151906217</v>
      </c>
      <c r="D39">
        <v>44027.998016367928</v>
      </c>
      <c r="E39">
        <v>2.1296150776928702E-2</v>
      </c>
      <c r="F39">
        <v>7.433833445071425E-3</v>
      </c>
      <c r="G39">
        <f t="shared" si="1"/>
        <v>9.4493001867239883</v>
      </c>
      <c r="H39">
        <f t="shared" si="2"/>
        <v>10.551860594128737</v>
      </c>
      <c r="I39">
        <f t="shared" si="3"/>
        <v>10.692581029089405</v>
      </c>
      <c r="J39">
        <f t="shared" si="4"/>
        <v>-3.8492289372958091</v>
      </c>
      <c r="K39">
        <f t="shared" si="5"/>
        <v>-4.9017136118413234</v>
      </c>
    </row>
    <row r="40" spans="1:11" x14ac:dyDescent="0.45">
      <c r="A40" t="s">
        <v>62</v>
      </c>
      <c r="B40">
        <v>5757.7382537196554</v>
      </c>
      <c r="C40">
        <v>16800.231439270596</v>
      </c>
      <c r="D40">
        <v>14734.554450888336</v>
      </c>
      <c r="E40">
        <v>1.6053781312329596E-2</v>
      </c>
      <c r="F40">
        <v>-6.881334657210636E-3</v>
      </c>
      <c r="G40">
        <f t="shared" si="1"/>
        <v>8.6583000122923472</v>
      </c>
      <c r="H40">
        <f t="shared" si="2"/>
        <v>9.7291479414435198</v>
      </c>
      <c r="I40">
        <f t="shared" si="3"/>
        <v>9.5979506572452298</v>
      </c>
      <c r="J40">
        <f t="shared" si="4"/>
        <v>-4.1318108613706652</v>
      </c>
      <c r="K40" t="e">
        <f t="shared" si="5"/>
        <v>#NUM!</v>
      </c>
    </row>
    <row r="41" spans="1:11" x14ac:dyDescent="0.45">
      <c r="A41" t="s">
        <v>63</v>
      </c>
      <c r="B41">
        <v>14951.962224443727</v>
      </c>
      <c r="C41">
        <v>37253.365816239078</v>
      </c>
      <c r="D41">
        <v>44671.794989500995</v>
      </c>
      <c r="E41">
        <v>1.8723979478376007E-2</v>
      </c>
      <c r="F41">
        <v>9.6037183302841722E-3</v>
      </c>
      <c r="G41">
        <f t="shared" si="1"/>
        <v>9.6125978226771327</v>
      </c>
      <c r="H41">
        <f t="shared" si="2"/>
        <v>10.525497577208643</v>
      </c>
      <c r="I41">
        <f t="shared" si="3"/>
        <v>10.707097596872192</v>
      </c>
      <c r="J41">
        <f t="shared" si="4"/>
        <v>-3.9779502515513219</v>
      </c>
      <c r="K41">
        <f t="shared" si="5"/>
        <v>-4.6456049294284583</v>
      </c>
    </row>
    <row r="42" spans="1:11" x14ac:dyDescent="0.45">
      <c r="A42" t="s">
        <v>65</v>
      </c>
      <c r="B42">
        <v>2855.973973395026</v>
      </c>
      <c r="C42">
        <v>2807.7913625777405</v>
      </c>
      <c r="D42">
        <v>5503.7299188964398</v>
      </c>
      <c r="E42">
        <v>1.1180910399754884E-2</v>
      </c>
      <c r="F42">
        <v>3.6057369500800407E-2</v>
      </c>
      <c r="G42">
        <f t="shared" si="1"/>
        <v>7.9571682104610284</v>
      </c>
      <c r="H42">
        <f t="shared" si="2"/>
        <v>7.9401534613089364</v>
      </c>
      <c r="I42">
        <f t="shared" si="3"/>
        <v>8.6131813084412663</v>
      </c>
      <c r="J42">
        <f t="shared" si="4"/>
        <v>-4.4935473834654287</v>
      </c>
      <c r="K42">
        <f t="shared" si="5"/>
        <v>-3.3226440117102625</v>
      </c>
    </row>
    <row r="43" spans="1:11" x14ac:dyDescent="0.45">
      <c r="A43" t="s">
        <v>66</v>
      </c>
      <c r="B43">
        <v>1566.7883617816676</v>
      </c>
      <c r="C43">
        <v>1734.1628502433045</v>
      </c>
      <c r="D43">
        <v>2567.981019794538</v>
      </c>
      <c r="E43">
        <v>8.4096061055924931E-3</v>
      </c>
      <c r="F43">
        <v>2.0877861335803383E-2</v>
      </c>
      <c r="G43">
        <f t="shared" si="1"/>
        <v>7.356783173746261</v>
      </c>
      <c r="H43">
        <f t="shared" si="2"/>
        <v>7.4582800688725897</v>
      </c>
      <c r="I43">
        <f t="shared" si="3"/>
        <v>7.8508752737367971</v>
      </c>
      <c r="J43">
        <f t="shared" si="4"/>
        <v>-4.7783806425278508</v>
      </c>
      <c r="K43">
        <f t="shared" si="5"/>
        <v>-3.8690659476598439</v>
      </c>
    </row>
    <row r="44" spans="1:11" x14ac:dyDescent="0.45">
      <c r="A44" t="s">
        <v>67</v>
      </c>
      <c r="B44">
        <v>2622.7106433442041</v>
      </c>
      <c r="C44">
        <v>2368.4723381649842</v>
      </c>
      <c r="D44">
        <v>2360.6246965114792</v>
      </c>
      <c r="E44">
        <v>-1.782851095950666E-3</v>
      </c>
      <c r="F44">
        <v>-1.7466255206355363E-4</v>
      </c>
      <c r="G44">
        <f t="shared" si="1"/>
        <v>7.8719636586250958</v>
      </c>
      <c r="H44">
        <f t="shared" si="2"/>
        <v>7.7700004432434566</v>
      </c>
      <c r="I44">
        <f t="shared" si="3"/>
        <v>7.7666815649039291</v>
      </c>
      <c r="J44" t="e">
        <f t="shared" si="4"/>
        <v>#NUM!</v>
      </c>
      <c r="K44" t="e">
        <f t="shared" si="5"/>
        <v>#NUM!</v>
      </c>
    </row>
    <row r="45" spans="1:11" x14ac:dyDescent="0.45">
      <c r="A45" t="s">
        <v>68</v>
      </c>
      <c r="B45">
        <v>1979.3316217372701</v>
      </c>
      <c r="C45">
        <v>1717.4848913676849</v>
      </c>
      <c r="D45">
        <v>1960.5211619553334</v>
      </c>
      <c r="E45">
        <v>-1.6183243058542907E-4</v>
      </c>
      <c r="F45">
        <v>6.9900746149647031E-3</v>
      </c>
      <c r="G45">
        <f t="shared" si="1"/>
        <v>7.5905145019216089</v>
      </c>
      <c r="H45">
        <f t="shared" si="2"/>
        <v>7.4486162271831011</v>
      </c>
      <c r="I45">
        <f t="shared" si="3"/>
        <v>7.5809656158365035</v>
      </c>
      <c r="J45" t="e">
        <f t="shared" si="4"/>
        <v>#NUM!</v>
      </c>
      <c r="K45">
        <f t="shared" si="5"/>
        <v>-4.9632640482633903</v>
      </c>
    </row>
    <row r="46" spans="1:11" x14ac:dyDescent="0.45">
      <c r="A46" t="s">
        <v>69</v>
      </c>
      <c r="B46">
        <v>2374.4122582998907</v>
      </c>
      <c r="C46">
        <v>14966.914219729464</v>
      </c>
      <c r="D46">
        <v>20985.484070796458</v>
      </c>
      <c r="E46">
        <v>3.7624096167897081E-2</v>
      </c>
      <c r="F46">
        <v>1.7948055105897032E-2</v>
      </c>
      <c r="G46">
        <f t="shared" si="1"/>
        <v>7.772505215653422</v>
      </c>
      <c r="H46">
        <f t="shared" si="2"/>
        <v>9.6135973252191746</v>
      </c>
      <c r="I46">
        <f t="shared" si="3"/>
        <v>9.9515862429687107</v>
      </c>
      <c r="J46">
        <f t="shared" si="4"/>
        <v>-3.2801105783173252</v>
      </c>
      <c r="K46">
        <f t="shared" si="5"/>
        <v>-4.0202735205646096</v>
      </c>
    </row>
    <row r="47" spans="1:11" x14ac:dyDescent="0.45">
      <c r="A47" t="s">
        <v>70</v>
      </c>
      <c r="B47">
        <v>7240.6783180987204</v>
      </c>
      <c r="C47">
        <v>25852.117378475199</v>
      </c>
      <c r="D47">
        <v>27640.542206521219</v>
      </c>
      <c r="E47">
        <v>2.2964264839418824E-2</v>
      </c>
      <c r="F47">
        <v>3.5267891501442605E-3</v>
      </c>
      <c r="G47">
        <f t="shared" si="1"/>
        <v>8.8874701713362221</v>
      </c>
      <c r="H47">
        <f t="shared" si="2"/>
        <v>10.160147786774584</v>
      </c>
      <c r="I47">
        <f t="shared" si="3"/>
        <v>10.227038894422964</v>
      </c>
      <c r="J47">
        <f t="shared" si="4"/>
        <v>-3.773815973934556</v>
      </c>
      <c r="K47">
        <f t="shared" si="5"/>
        <v>-5.6473674111584646</v>
      </c>
    </row>
    <row r="48" spans="1:11" x14ac:dyDescent="0.45">
      <c r="A48" t="s">
        <v>72</v>
      </c>
      <c r="B48">
        <v>3376.7094239641865</v>
      </c>
      <c r="C48">
        <v>6136.1381462058062</v>
      </c>
      <c r="D48">
        <v>7742.2965901657999</v>
      </c>
      <c r="E48">
        <v>1.4163718593353192E-2</v>
      </c>
      <c r="F48">
        <v>1.2312166852258555E-2</v>
      </c>
      <c r="G48">
        <f t="shared" si="1"/>
        <v>8.1246569710702214</v>
      </c>
      <c r="H48">
        <f t="shared" si="2"/>
        <v>8.7219508568428417</v>
      </c>
      <c r="I48">
        <f t="shared" si="3"/>
        <v>8.9544536396476513</v>
      </c>
      <c r="J48">
        <f t="shared" si="4"/>
        <v>-4.2570716126682537</v>
      </c>
      <c r="K48">
        <f t="shared" si="5"/>
        <v>-4.3971673305345798</v>
      </c>
    </row>
    <row r="49" spans="1:11" x14ac:dyDescent="0.45">
      <c r="A49" t="s">
        <v>74</v>
      </c>
      <c r="B49">
        <v>4421.1285035788351</v>
      </c>
      <c r="C49">
        <v>30212.347017241122</v>
      </c>
      <c r="D49">
        <v>49821.489806621656</v>
      </c>
      <c r="E49">
        <v>4.1905990684317329E-2</v>
      </c>
      <c r="F49">
        <v>2.6675683686410601E-2</v>
      </c>
      <c r="G49">
        <f t="shared" si="1"/>
        <v>8.3941502600355378</v>
      </c>
      <c r="H49">
        <f t="shared" si="2"/>
        <v>10.316005961440494</v>
      </c>
      <c r="I49">
        <f t="shared" si="3"/>
        <v>10.816201692155126</v>
      </c>
      <c r="J49">
        <f t="shared" si="4"/>
        <v>-3.1723264865147414</v>
      </c>
      <c r="K49">
        <f t="shared" si="5"/>
        <v>-3.6240028518918184</v>
      </c>
    </row>
    <row r="50" spans="1:11" x14ac:dyDescent="0.45">
      <c r="A50" t="s">
        <v>75</v>
      </c>
      <c r="B50">
        <v>3091.8083311637592</v>
      </c>
      <c r="C50">
        <v>3949.9352954597312</v>
      </c>
      <c r="D50">
        <v>5506.5447614943414</v>
      </c>
      <c r="E50">
        <v>9.8307395696015654E-3</v>
      </c>
      <c r="F50">
        <v>1.7639997022904863E-2</v>
      </c>
      <c r="G50">
        <f t="shared" si="1"/>
        <v>8.036511419158435</v>
      </c>
      <c r="H50">
        <f t="shared" si="2"/>
        <v>8.2814544768647291</v>
      </c>
      <c r="I50">
        <f t="shared" si="3"/>
        <v>8.6136926204186572</v>
      </c>
      <c r="J50">
        <f t="shared" si="4"/>
        <v>-4.622241111681471</v>
      </c>
      <c r="K50">
        <f t="shared" si="5"/>
        <v>-4.0375863971730714</v>
      </c>
    </row>
    <row r="51" spans="1:11" x14ac:dyDescent="0.45">
      <c r="A51" t="s">
        <v>77</v>
      </c>
      <c r="B51">
        <v>2382.2987050510887</v>
      </c>
      <c r="C51">
        <v>1757.7534204494434</v>
      </c>
      <c r="D51">
        <v>1621.1804565350569</v>
      </c>
      <c r="E51">
        <v>-6.5026858281215238E-3</v>
      </c>
      <c r="F51">
        <v>-4.2478976954970493E-3</v>
      </c>
      <c r="G51">
        <f t="shared" si="1"/>
        <v>7.7758211429982458</v>
      </c>
      <c r="H51">
        <f t="shared" si="2"/>
        <v>7.4717918070022495</v>
      </c>
      <c r="I51">
        <f t="shared" si="3"/>
        <v>7.3909098397438271</v>
      </c>
      <c r="J51" t="e">
        <f t="shared" si="4"/>
        <v>#NUM!</v>
      </c>
      <c r="K51" t="e">
        <f t="shared" si="5"/>
        <v>#NUM!</v>
      </c>
    </row>
    <row r="52" spans="1:11" x14ac:dyDescent="0.45">
      <c r="A52" t="s">
        <v>79</v>
      </c>
      <c r="B52">
        <v>1561.7046341282694</v>
      </c>
      <c r="C52">
        <v>5535.8237854929557</v>
      </c>
      <c r="D52">
        <v>11493.626249696998</v>
      </c>
      <c r="E52">
        <v>3.4409526055094508E-2</v>
      </c>
      <c r="F52">
        <v>3.9198890479609449E-2</v>
      </c>
      <c r="G52">
        <f t="shared" si="1"/>
        <v>7.3535332178507788</v>
      </c>
      <c r="H52">
        <f t="shared" si="2"/>
        <v>8.6189956661357261</v>
      </c>
      <c r="I52">
        <f t="shared" si="3"/>
        <v>9.3495479215472628</v>
      </c>
      <c r="J52">
        <f t="shared" si="4"/>
        <v>-3.3694218327318719</v>
      </c>
      <c r="K52">
        <f t="shared" si="5"/>
        <v>-3.2391068366778843</v>
      </c>
    </row>
    <row r="53" spans="1:11" x14ac:dyDescent="0.45">
      <c r="A53" t="s">
        <v>80</v>
      </c>
      <c r="B53">
        <v>1002.5485677230621</v>
      </c>
      <c r="C53">
        <v>2574.9096964675032</v>
      </c>
      <c r="D53">
        <v>6705.8933219400396</v>
      </c>
      <c r="E53">
        <v>3.2735256707036253E-2</v>
      </c>
      <c r="F53">
        <v>5.1668013726374973E-2</v>
      </c>
      <c r="G53">
        <f t="shared" si="1"/>
        <v>6.9103006046137709</v>
      </c>
      <c r="H53">
        <f t="shared" si="2"/>
        <v>7.853569743149885</v>
      </c>
      <c r="I53">
        <f t="shared" si="3"/>
        <v>8.8107420190469785</v>
      </c>
      <c r="J53">
        <f t="shared" si="4"/>
        <v>-3.4193025951453002</v>
      </c>
      <c r="K53">
        <f t="shared" si="5"/>
        <v>-2.9629163789474853</v>
      </c>
    </row>
    <row r="54" spans="1:11" x14ac:dyDescent="0.45">
      <c r="A54" t="s">
        <v>81</v>
      </c>
      <c r="B54">
        <v>10589.088932664758</v>
      </c>
      <c r="C54">
        <v>53374.402764928236</v>
      </c>
      <c r="D54">
        <v>96812.218392217095</v>
      </c>
      <c r="E54">
        <v>3.8219899565889781E-2</v>
      </c>
      <c r="F54">
        <v>3.1835287108074262E-2</v>
      </c>
      <c r="G54">
        <f t="shared" si="1"/>
        <v>9.2675794039847386</v>
      </c>
      <c r="H54">
        <f t="shared" si="2"/>
        <v>10.885086561052459</v>
      </c>
      <c r="I54">
        <f t="shared" si="3"/>
        <v>11.480528488359303</v>
      </c>
      <c r="J54">
        <f t="shared" si="4"/>
        <v>-3.2643989679628458</v>
      </c>
      <c r="K54">
        <f t="shared" si="5"/>
        <v>-3.4471799469241864</v>
      </c>
    </row>
    <row r="55" spans="1:11" x14ac:dyDescent="0.45">
      <c r="A55" t="s">
        <v>82</v>
      </c>
      <c r="B55">
        <v>11680.373965641937</v>
      </c>
      <c r="C55">
        <v>9672.6167799900632</v>
      </c>
      <c r="D55">
        <v>12079.871408774645</v>
      </c>
      <c r="E55">
        <v>5.701718588777549E-4</v>
      </c>
      <c r="F55">
        <v>1.176560640967006E-2</v>
      </c>
      <c r="G55">
        <f t="shared" si="1"/>
        <v>9.3656652734759955</v>
      </c>
      <c r="H55">
        <f t="shared" si="2"/>
        <v>9.1770541599047384</v>
      </c>
      <c r="I55">
        <f t="shared" si="3"/>
        <v>9.3992958264631614</v>
      </c>
      <c r="J55">
        <f t="shared" si="4"/>
        <v>-7.4695727357766417</v>
      </c>
      <c r="K55">
        <f t="shared" si="5"/>
        <v>-4.4425747145977672</v>
      </c>
    </row>
    <row r="56" spans="1:11" x14ac:dyDescent="0.45">
      <c r="A56" t="s">
        <v>84</v>
      </c>
      <c r="B56">
        <v>11408.558773424191</v>
      </c>
      <c r="C56">
        <v>35726.243580599148</v>
      </c>
      <c r="D56">
        <v>52021.709144542772</v>
      </c>
      <c r="E56">
        <v>2.6050435461316246E-2</v>
      </c>
      <c r="F56">
        <v>1.9974535929653925E-2</v>
      </c>
      <c r="G56">
        <f t="shared" si="1"/>
        <v>9.3421191222946831</v>
      </c>
      <c r="H56">
        <f t="shared" si="2"/>
        <v>10.483640812006053</v>
      </c>
      <c r="I56">
        <f t="shared" si="3"/>
        <v>10.859416393990454</v>
      </c>
      <c r="J56">
        <f t="shared" si="4"/>
        <v>-3.6477207945571712</v>
      </c>
      <c r="K56">
        <f t="shared" si="5"/>
        <v>-3.91329702015768</v>
      </c>
    </row>
    <row r="57" spans="1:11" x14ac:dyDescent="0.45">
      <c r="A57" t="s">
        <v>85</v>
      </c>
      <c r="B57">
        <v>9403.9886763359518</v>
      </c>
      <c r="C57">
        <v>30916.180524722502</v>
      </c>
      <c r="D57">
        <v>40383.059546446937</v>
      </c>
      <c r="E57">
        <v>2.5007163028968993E-2</v>
      </c>
      <c r="F57">
        <v>1.4158809757167656E-2</v>
      </c>
      <c r="G57">
        <f t="shared" si="1"/>
        <v>9.1488892055265207</v>
      </c>
      <c r="H57">
        <f t="shared" si="2"/>
        <v>10.339034967410209</v>
      </c>
      <c r="I57">
        <f t="shared" si="3"/>
        <v>10.606165657853545</v>
      </c>
      <c r="J57">
        <f t="shared" si="4"/>
        <v>-3.6885929739945249</v>
      </c>
      <c r="K57">
        <f t="shared" si="5"/>
        <v>-4.2574182509467251</v>
      </c>
    </row>
    <row r="58" spans="1:11" x14ac:dyDescent="0.45">
      <c r="A58" t="s">
        <v>86</v>
      </c>
      <c r="B58">
        <v>11717.270037112052</v>
      </c>
      <c r="C58">
        <v>41855.6035927341</v>
      </c>
      <c r="D58">
        <v>40756.55531535043</v>
      </c>
      <c r="E58">
        <v>2.1352791458488785E-2</v>
      </c>
      <c r="F58">
        <v>-1.3994930406103778E-3</v>
      </c>
      <c r="G58">
        <f t="shared" si="1"/>
        <v>9.3688191040111093</v>
      </c>
      <c r="H58">
        <f t="shared" si="2"/>
        <v>10.641980964032681</v>
      </c>
      <c r="I58">
        <f t="shared" si="3"/>
        <v>10.615371972365725</v>
      </c>
      <c r="J58">
        <f t="shared" si="4"/>
        <v>-3.8465728003840085</v>
      </c>
      <c r="K58" t="e">
        <f t="shared" si="5"/>
        <v>#NUM!</v>
      </c>
    </row>
    <row r="59" spans="1:11" x14ac:dyDescent="0.45">
      <c r="A59" t="s">
        <v>87</v>
      </c>
      <c r="B59">
        <v>6448.9517972818494</v>
      </c>
      <c r="C59">
        <v>8096.8055900855088</v>
      </c>
      <c r="D59">
        <v>8357.3591561238682</v>
      </c>
      <c r="E59">
        <v>4.4033082513326161E-3</v>
      </c>
      <c r="F59">
        <v>1.6683835994379947E-3</v>
      </c>
      <c r="G59">
        <f t="shared" si="1"/>
        <v>8.7716728845339791</v>
      </c>
      <c r="H59">
        <f t="shared" si="2"/>
        <v>8.9992248912812194</v>
      </c>
      <c r="I59">
        <f t="shared" si="3"/>
        <v>9.0308977657590557</v>
      </c>
      <c r="J59">
        <f t="shared" si="4"/>
        <v>-5.4253991452716868</v>
      </c>
      <c r="K59">
        <f t="shared" si="5"/>
        <v>-6.3959000258036847</v>
      </c>
    </row>
    <row r="60" spans="1:11" x14ac:dyDescent="0.45">
      <c r="A60" t="s">
        <v>88</v>
      </c>
      <c r="B60">
        <v>7567.86242025108</v>
      </c>
      <c r="C60">
        <v>9246.8932942898973</v>
      </c>
      <c r="D60">
        <v>10652.070780165715</v>
      </c>
      <c r="E60">
        <v>5.8107777958957829E-3</v>
      </c>
      <c r="F60">
        <v>7.4734021250695282E-3</v>
      </c>
      <c r="G60">
        <f t="shared" si="1"/>
        <v>8.9316659314241722</v>
      </c>
      <c r="H60">
        <f t="shared" si="2"/>
        <v>9.1320429140160755</v>
      </c>
      <c r="I60">
        <f t="shared" si="3"/>
        <v>9.2735095916888515</v>
      </c>
      <c r="J60">
        <f t="shared" si="4"/>
        <v>-5.1480408451513791</v>
      </c>
      <c r="K60">
        <f t="shared" si="5"/>
        <v>-4.8964049450883582</v>
      </c>
    </row>
    <row r="61" spans="1:11" x14ac:dyDescent="0.45">
      <c r="A61" t="s">
        <v>89</v>
      </c>
      <c r="B61">
        <v>6443.6652187468626</v>
      </c>
      <c r="C61">
        <v>34432.084263222197</v>
      </c>
      <c r="D61">
        <v>40195.821703085996</v>
      </c>
      <c r="E61">
        <v>3.1514622624930988E-2</v>
      </c>
      <c r="F61">
        <v>8.1792817058166101E-3</v>
      </c>
      <c r="G61">
        <f t="shared" si="1"/>
        <v>8.7708527905492257</v>
      </c>
      <c r="H61">
        <f t="shared" si="2"/>
        <v>10.446744090754237</v>
      </c>
      <c r="I61">
        <f t="shared" si="3"/>
        <v>10.601518331471032</v>
      </c>
      <c r="J61">
        <f t="shared" si="4"/>
        <v>-3.457303630547556</v>
      </c>
      <c r="K61">
        <f t="shared" si="5"/>
        <v>-4.8061509432479594</v>
      </c>
    </row>
    <row r="62" spans="1:11" x14ac:dyDescent="0.45">
      <c r="A62" t="s">
        <v>91</v>
      </c>
      <c r="B62">
        <v>2572.3772159929722</v>
      </c>
      <c r="C62">
        <v>2851.8447939282833</v>
      </c>
      <c r="D62">
        <v>4328.4525145509187</v>
      </c>
      <c r="E62">
        <v>8.859004532981718E-3</v>
      </c>
      <c r="F62">
        <v>2.2203111286600574E-2</v>
      </c>
      <c r="G62">
        <f t="shared" si="1"/>
        <v>7.8525857371203225</v>
      </c>
      <c r="H62">
        <f t="shared" si="2"/>
        <v>7.955721359972113</v>
      </c>
      <c r="I62">
        <f t="shared" si="3"/>
        <v>8.3729653701788624</v>
      </c>
      <c r="J62">
        <f t="shared" si="4"/>
        <v>-4.7263208758714024</v>
      </c>
      <c r="K62">
        <f t="shared" si="5"/>
        <v>-3.8075228518786521</v>
      </c>
    </row>
    <row r="63" spans="1:11" x14ac:dyDescent="0.45">
      <c r="A63" t="s">
        <v>95</v>
      </c>
      <c r="B63">
        <v>1640.6614611322339</v>
      </c>
      <c r="C63">
        <v>22620.517020126976</v>
      </c>
      <c r="D63">
        <v>42813.458388725885</v>
      </c>
      <c r="E63">
        <v>5.6840661281907456E-2</v>
      </c>
      <c r="F63">
        <v>3.4148821194691648E-2</v>
      </c>
      <c r="G63">
        <f t="shared" si="1"/>
        <v>7.4028547694612596</v>
      </c>
      <c r="H63">
        <f t="shared" si="2"/>
        <v>10.026612606178439</v>
      </c>
      <c r="I63">
        <f t="shared" si="3"/>
        <v>10.664607780476089</v>
      </c>
      <c r="J63">
        <f t="shared" si="4"/>
        <v>-2.8675033417268336</v>
      </c>
      <c r="K63">
        <f t="shared" si="5"/>
        <v>-3.3770272120181666</v>
      </c>
    </row>
    <row r="64" spans="1:11" x14ac:dyDescent="0.45">
      <c r="A64" t="s">
        <v>101</v>
      </c>
      <c r="B64">
        <v>1574.7492914670202</v>
      </c>
      <c r="C64">
        <v>5917.9662523432171</v>
      </c>
      <c r="D64">
        <v>13331.020765626979</v>
      </c>
      <c r="E64">
        <v>3.6866671509821813E-2</v>
      </c>
      <c r="F64">
        <v>4.3668750517354527E-2</v>
      </c>
      <c r="G64">
        <f t="shared" si="1"/>
        <v>7.3618513585683099</v>
      </c>
      <c r="H64">
        <f t="shared" si="2"/>
        <v>8.6857481303996611</v>
      </c>
      <c r="I64">
        <f t="shared" si="3"/>
        <v>9.4978489868070834</v>
      </c>
      <c r="J64">
        <f t="shared" si="4"/>
        <v>-3.3004473471925322</v>
      </c>
      <c r="K64">
        <f t="shared" si="5"/>
        <v>-3.131122523816265</v>
      </c>
    </row>
    <row r="65" spans="1:11" x14ac:dyDescent="0.45">
      <c r="A65" t="s">
        <v>102</v>
      </c>
      <c r="B65">
        <v>565.80031408552793</v>
      </c>
      <c r="C65">
        <v>1603.3926111767021</v>
      </c>
      <c r="D65">
        <v>3016.8224721215825</v>
      </c>
      <c r="E65">
        <v>2.8774311452425261E-2</v>
      </c>
      <c r="F65">
        <v>3.3827042805152585E-2</v>
      </c>
      <c r="G65">
        <f t="shared" si="1"/>
        <v>6.3382412139848947</v>
      </c>
      <c r="H65">
        <f t="shared" si="2"/>
        <v>7.3798770453761442</v>
      </c>
      <c r="I65">
        <f t="shared" si="3"/>
        <v>8.0119593949092387</v>
      </c>
      <c r="J65">
        <f t="shared" si="4"/>
        <v>-3.5482722533338045</v>
      </c>
      <c r="K65">
        <f t="shared" si="5"/>
        <v>-3.3864947133962642</v>
      </c>
    </row>
    <row r="66" spans="1:11" x14ac:dyDescent="0.45">
      <c r="A66" t="s">
        <v>104</v>
      </c>
      <c r="B66">
        <v>22074.229325699744</v>
      </c>
      <c r="C66">
        <v>76823.128640220137</v>
      </c>
      <c r="D66">
        <v>91869.226571382169</v>
      </c>
      <c r="E66">
        <v>2.4463164645930124E-2</v>
      </c>
      <c r="F66">
        <v>9.4581517733871578E-3</v>
      </c>
      <c r="G66">
        <f t="shared" si="1"/>
        <v>10.002166113229654</v>
      </c>
      <c r="H66">
        <f t="shared" si="2"/>
        <v>11.249261027967481</v>
      </c>
      <c r="I66">
        <f t="shared" si="3"/>
        <v>11.428121394501241</v>
      </c>
      <c r="J66">
        <f t="shared" si="4"/>
        <v>-3.7105867766370064</v>
      </c>
      <c r="K66">
        <f t="shared" si="5"/>
        <v>-4.6608782877981554</v>
      </c>
    </row>
    <row r="67" spans="1:11" x14ac:dyDescent="0.45">
      <c r="A67" t="s">
        <v>107</v>
      </c>
      <c r="B67">
        <v>1467.7973515762521</v>
      </c>
      <c r="C67">
        <v>4075.2504575653697</v>
      </c>
      <c r="D67">
        <v>7964.5155654505661</v>
      </c>
      <c r="E67">
        <v>2.9079764370607775E-2</v>
      </c>
      <c r="F67">
        <v>3.5895760820434219E-2</v>
      </c>
      <c r="G67">
        <f t="shared" si="1"/>
        <v>7.2915181557601398</v>
      </c>
      <c r="H67">
        <f t="shared" si="2"/>
        <v>8.3126874857654851</v>
      </c>
      <c r="I67">
        <f t="shared" si="3"/>
        <v>8.9827514000865492</v>
      </c>
      <c r="J67">
        <f t="shared" si="4"/>
        <v>-3.5377127291485535</v>
      </c>
      <c r="K67">
        <f t="shared" si="5"/>
        <v>-3.327136073456511</v>
      </c>
    </row>
    <row r="68" spans="1:11" x14ac:dyDescent="0.45">
      <c r="A68" t="s">
        <v>109</v>
      </c>
      <c r="B68">
        <v>2523.3834055890247</v>
      </c>
      <c r="C68">
        <v>1667.4353134434382</v>
      </c>
      <c r="D68">
        <v>1667.2817574056428</v>
      </c>
      <c r="E68">
        <v>-6.9992212667502329E-3</v>
      </c>
      <c r="F68">
        <v>-4.8471141468331425E-6</v>
      </c>
      <c r="G68">
        <f t="shared" ref="G68:G113" si="6">LN(B68)</f>
        <v>7.8333559012609628</v>
      </c>
      <c r="H68">
        <f t="shared" ref="H68:H113" si="7">LN(C68)</f>
        <v>7.4190419844996605</v>
      </c>
      <c r="I68">
        <f t="shared" ref="I68:I113" si="8">LN(D68)</f>
        <v>7.4189498891076733</v>
      </c>
      <c r="J68" t="e">
        <f t="shared" ref="J68:J113" si="9">LN(E68)</f>
        <v>#NUM!</v>
      </c>
      <c r="K68" t="e">
        <f t="shared" ref="K68:K113" si="10">LN(F68)</f>
        <v>#NUM!</v>
      </c>
    </row>
    <row r="69" spans="1:11" x14ac:dyDescent="0.45">
      <c r="A69" t="s">
        <v>111</v>
      </c>
      <c r="B69">
        <v>7289.0354978653995</v>
      </c>
      <c r="C69">
        <v>17014.198967035321</v>
      </c>
      <c r="D69">
        <v>18862.632323604452</v>
      </c>
      <c r="E69">
        <v>1.6246005213091941E-2</v>
      </c>
      <c r="F69">
        <v>5.4428964219102038E-3</v>
      </c>
      <c r="G69">
        <f t="shared" si="6"/>
        <v>8.8941265114300876</v>
      </c>
      <c r="H69">
        <f t="shared" si="7"/>
        <v>9.7418035077800962</v>
      </c>
      <c r="I69">
        <f t="shared" si="8"/>
        <v>9.8449381182193942</v>
      </c>
      <c r="J69">
        <f t="shared" si="9"/>
        <v>-4.1199082334687818</v>
      </c>
      <c r="K69">
        <f t="shared" si="10"/>
        <v>-5.213443929306913</v>
      </c>
    </row>
    <row r="70" spans="1:11" x14ac:dyDescent="0.45">
      <c r="A70" t="s">
        <v>113</v>
      </c>
      <c r="B70">
        <v>310.67456909962044</v>
      </c>
      <c r="C70">
        <v>916.15665424249073</v>
      </c>
      <c r="D70">
        <v>2402.4140960423238</v>
      </c>
      <c r="E70">
        <v>3.5277193361129999E-2</v>
      </c>
      <c r="F70">
        <v>5.2048329003048233E-2</v>
      </c>
      <c r="G70">
        <f t="shared" si="6"/>
        <v>5.7387459627099116</v>
      </c>
      <c r="H70">
        <f t="shared" si="7"/>
        <v>6.8201873699672744</v>
      </c>
      <c r="I70">
        <f t="shared" si="8"/>
        <v>7.7842293841353918</v>
      </c>
      <c r="J70">
        <f t="shared" si="9"/>
        <v>-3.3445186042640271</v>
      </c>
      <c r="K70">
        <f t="shared" si="10"/>
        <v>-2.9555825881243276</v>
      </c>
    </row>
    <row r="71" spans="1:11" x14ac:dyDescent="0.45">
      <c r="A71" t="s">
        <v>114</v>
      </c>
      <c r="B71">
        <v>2508.8703423205088</v>
      </c>
      <c r="C71">
        <v>21449.510416666664</v>
      </c>
      <c r="D71">
        <v>39270.757947320613</v>
      </c>
      <c r="E71">
        <v>4.7724998474993896E-2</v>
      </c>
      <c r="F71">
        <v>3.2342445860117364E-2</v>
      </c>
      <c r="G71">
        <f t="shared" si="6"/>
        <v>7.8275878679966464</v>
      </c>
      <c r="H71">
        <f t="shared" si="7"/>
        <v>9.9734570996978587</v>
      </c>
      <c r="I71">
        <f t="shared" si="8"/>
        <v>10.578235448310689</v>
      </c>
      <c r="J71">
        <f t="shared" si="9"/>
        <v>-3.0422999413243565</v>
      </c>
      <c r="K71">
        <f t="shared" si="10"/>
        <v>-3.4313747981284033</v>
      </c>
    </row>
    <row r="72" spans="1:11" x14ac:dyDescent="0.45">
      <c r="A72" t="s">
        <v>118</v>
      </c>
      <c r="B72">
        <v>413.46622320972659</v>
      </c>
      <c r="C72">
        <v>622.32320643183402</v>
      </c>
      <c r="D72">
        <v>1264.3690970164</v>
      </c>
      <c r="E72">
        <v>1.9125555667435012E-2</v>
      </c>
      <c r="F72">
        <v>3.8013605909873682E-2</v>
      </c>
      <c r="G72">
        <f t="shared" si="6"/>
        <v>6.0245758260238942</v>
      </c>
      <c r="H72">
        <f t="shared" si="7"/>
        <v>6.4334595822696041</v>
      </c>
      <c r="I72">
        <f t="shared" si="8"/>
        <v>7.1423285392142457</v>
      </c>
      <c r="J72">
        <f t="shared" si="9"/>
        <v>-3.9567298451852055</v>
      </c>
      <c r="K72">
        <f t="shared" si="10"/>
        <v>-3.2698111330806152</v>
      </c>
    </row>
    <row r="73" spans="1:11" x14ac:dyDescent="0.45">
      <c r="A73" t="s">
        <v>119</v>
      </c>
      <c r="B73">
        <v>2343.5082511571745</v>
      </c>
      <c r="C73">
        <v>4239.2495627708922</v>
      </c>
      <c r="D73">
        <v>5051.6542192368033</v>
      </c>
      <c r="E73">
        <v>1.3103183731823176E-2</v>
      </c>
      <c r="F73">
        <v>9.2705761549563004E-3</v>
      </c>
      <c r="G73">
        <f t="shared" si="6"/>
        <v>7.75940433822585</v>
      </c>
      <c r="H73">
        <f t="shared" si="7"/>
        <v>8.3521415426489156</v>
      </c>
      <c r="I73">
        <f t="shared" si="8"/>
        <v>8.5274710367963706</v>
      </c>
      <c r="J73">
        <f t="shared" si="9"/>
        <v>-4.3349000453391566</v>
      </c>
      <c r="K73">
        <f t="shared" si="10"/>
        <v>-4.6809097486975482</v>
      </c>
    </row>
    <row r="74" spans="1:11" x14ac:dyDescent="0.45">
      <c r="A74" t="s">
        <v>121</v>
      </c>
      <c r="B74">
        <v>3597.5455508474574</v>
      </c>
      <c r="C74">
        <v>12381.020251455573</v>
      </c>
      <c r="D74">
        <v>23826.842088682366</v>
      </c>
      <c r="E74">
        <v>3.2562323531630799E-2</v>
      </c>
      <c r="F74">
        <v>3.5055618105344299E-2</v>
      </c>
      <c r="G74">
        <f t="shared" si="6"/>
        <v>8.1880071004874662</v>
      </c>
      <c r="H74">
        <f t="shared" si="7"/>
        <v>9.4239199541075518</v>
      </c>
      <c r="I74">
        <f t="shared" si="8"/>
        <v>10.078568043001866</v>
      </c>
      <c r="J74">
        <f t="shared" si="9"/>
        <v>-3.4245993788573386</v>
      </c>
      <c r="K74">
        <f t="shared" si="10"/>
        <v>-3.3508193900340886</v>
      </c>
    </row>
    <row r="75" spans="1:11" x14ac:dyDescent="0.45">
      <c r="A75" t="s">
        <v>122</v>
      </c>
      <c r="B75">
        <v>412.80842730959392</v>
      </c>
      <c r="C75">
        <v>861.63114415901271</v>
      </c>
      <c r="D75">
        <v>1189.9342251472192</v>
      </c>
      <c r="E75">
        <v>1.8105506726415976E-2</v>
      </c>
      <c r="F75">
        <v>1.7136009573484046E-2</v>
      </c>
      <c r="G75">
        <f t="shared" si="6"/>
        <v>6.0229836289531411</v>
      </c>
      <c r="H75">
        <f t="shared" si="7"/>
        <v>6.7588272720772578</v>
      </c>
      <c r="I75">
        <f t="shared" si="8"/>
        <v>7.0816533115924374</v>
      </c>
      <c r="J75">
        <f t="shared" si="9"/>
        <v>-4.0115391479531581</v>
      </c>
      <c r="K75">
        <f t="shared" si="10"/>
        <v>-4.0665732066001938</v>
      </c>
    </row>
    <row r="76" spans="1:11" x14ac:dyDescent="0.45">
      <c r="A76" t="s">
        <v>123</v>
      </c>
      <c r="B76">
        <v>2548.2422931767801</v>
      </c>
      <c r="C76">
        <v>14423.113924541805</v>
      </c>
      <c r="D76">
        <v>25702.283347626588</v>
      </c>
      <c r="E76">
        <v>3.9949833256708089E-2</v>
      </c>
      <c r="F76">
        <v>3.0874816261681426E-2</v>
      </c>
      <c r="G76">
        <f t="shared" si="6"/>
        <v>7.8431591036847923</v>
      </c>
      <c r="H76">
        <f t="shared" si="7"/>
        <v>9.5765873323626742</v>
      </c>
      <c r="I76">
        <f t="shared" si="8"/>
        <v>10.154335113147871</v>
      </c>
      <c r="J76">
        <f t="shared" si="9"/>
        <v>-3.2201307805781108</v>
      </c>
      <c r="K76">
        <f t="shared" si="10"/>
        <v>-3.4778144350903615</v>
      </c>
    </row>
    <row r="77" spans="1:11" x14ac:dyDescent="0.45">
      <c r="A77" t="s">
        <v>124</v>
      </c>
      <c r="B77">
        <v>4322.2717339667461</v>
      </c>
      <c r="C77">
        <v>6611.6099966566362</v>
      </c>
      <c r="D77">
        <v>9514.0817799158158</v>
      </c>
      <c r="E77">
        <v>1.3462558525664914E-2</v>
      </c>
      <c r="F77">
        <v>1.9339676918382454E-2</v>
      </c>
      <c r="G77">
        <f t="shared" si="6"/>
        <v>8.3715364073641094</v>
      </c>
      <c r="H77">
        <f t="shared" si="7"/>
        <v>8.7965824730295683</v>
      </c>
      <c r="I77">
        <f t="shared" si="8"/>
        <v>9.160528272700061</v>
      </c>
      <c r="J77">
        <f t="shared" si="9"/>
        <v>-4.3078428891987794</v>
      </c>
      <c r="K77">
        <f t="shared" si="10"/>
        <v>-3.9455964944542057</v>
      </c>
    </row>
    <row r="78" spans="1:11" x14ac:dyDescent="0.45">
      <c r="A78" t="s">
        <v>125</v>
      </c>
      <c r="B78">
        <v>1681.4462973121231</v>
      </c>
      <c r="C78">
        <v>894.37133326273431</v>
      </c>
      <c r="D78">
        <v>1184.1170664115621</v>
      </c>
      <c r="E78">
        <v>-5.9257107499000039E-3</v>
      </c>
      <c r="F78">
        <v>1.4879702721551258E-2</v>
      </c>
      <c r="G78">
        <f t="shared" si="6"/>
        <v>7.427409593300184</v>
      </c>
      <c r="H78">
        <f t="shared" si="7"/>
        <v>6.7961210505261933</v>
      </c>
      <c r="I78">
        <f t="shared" si="8"/>
        <v>7.0767526842146866</v>
      </c>
      <c r="J78" t="e">
        <f t="shared" si="9"/>
        <v>#NUM!</v>
      </c>
      <c r="K78">
        <f t="shared" si="10"/>
        <v>-4.207757228167134</v>
      </c>
    </row>
    <row r="79" spans="1:11" x14ac:dyDescent="0.45">
      <c r="A79" t="s">
        <v>126</v>
      </c>
      <c r="B79">
        <v>3390.7013249274687</v>
      </c>
      <c r="C79">
        <v>2902.5836598276633</v>
      </c>
      <c r="D79">
        <v>5007.058803186248</v>
      </c>
      <c r="E79">
        <v>6.6288555532556526E-3</v>
      </c>
      <c r="F79">
        <v>2.9112965473862218E-2</v>
      </c>
      <c r="G79">
        <f t="shared" si="6"/>
        <v>8.1287920594872514</v>
      </c>
      <c r="H79">
        <f t="shared" si="7"/>
        <v>7.9733565365253654</v>
      </c>
      <c r="I79">
        <f t="shared" si="8"/>
        <v>8.5186039564563583</v>
      </c>
      <c r="J79">
        <f t="shared" si="9"/>
        <v>-5.0163231060861539</v>
      </c>
      <c r="K79">
        <f t="shared" si="10"/>
        <v>-3.5365716551021689</v>
      </c>
    </row>
    <row r="80" spans="1:11" x14ac:dyDescent="0.45">
      <c r="A80" t="s">
        <v>127</v>
      </c>
      <c r="B80">
        <v>4257.5929375464257</v>
      </c>
      <c r="C80">
        <v>3737.9451995344521</v>
      </c>
      <c r="D80">
        <v>5092.4424413719353</v>
      </c>
      <c r="E80">
        <v>3.0394165353335723E-3</v>
      </c>
      <c r="F80">
        <v>1.6407972943507598E-2</v>
      </c>
      <c r="G80">
        <f t="shared" si="6"/>
        <v>8.3564592414345693</v>
      </c>
      <c r="H80">
        <f t="shared" si="7"/>
        <v>8.2262913275373784</v>
      </c>
      <c r="I80">
        <f t="shared" si="8"/>
        <v>8.5355128454100733</v>
      </c>
      <c r="J80">
        <f t="shared" si="9"/>
        <v>-5.7960897111513541</v>
      </c>
      <c r="K80">
        <f t="shared" si="10"/>
        <v>-4.1099879071951575</v>
      </c>
    </row>
    <row r="81" spans="1:11" x14ac:dyDescent="0.45">
      <c r="A81" t="s">
        <v>128</v>
      </c>
      <c r="B81">
        <v>16053.593950712093</v>
      </c>
      <c r="C81">
        <v>46384.397251070564</v>
      </c>
      <c r="D81">
        <v>56194.961426206777</v>
      </c>
      <c r="E81">
        <v>2.1462575186973476E-2</v>
      </c>
      <c r="F81">
        <v>1.0149261162219814E-2</v>
      </c>
      <c r="G81">
        <f t="shared" si="6"/>
        <v>9.6836880256540834</v>
      </c>
      <c r="H81">
        <f t="shared" si="7"/>
        <v>10.74471841552349</v>
      </c>
      <c r="I81">
        <f t="shared" si="8"/>
        <v>10.936582377524635</v>
      </c>
      <c r="J81">
        <f t="shared" si="9"/>
        <v>-3.8414445495859502</v>
      </c>
      <c r="K81">
        <f t="shared" si="10"/>
        <v>-4.5903543680433252</v>
      </c>
    </row>
    <row r="82" spans="1:11" x14ac:dyDescent="0.45">
      <c r="A82" t="s">
        <v>129</v>
      </c>
      <c r="B82">
        <v>17675.53248603352</v>
      </c>
      <c r="C82">
        <v>62192.042272302977</v>
      </c>
      <c r="D82">
        <v>70221.670564613582</v>
      </c>
      <c r="E82">
        <v>2.3656419787119853E-2</v>
      </c>
      <c r="F82">
        <v>6.4115140638532075E-3</v>
      </c>
      <c r="G82">
        <f t="shared" si="6"/>
        <v>9.7799366168192403</v>
      </c>
      <c r="H82">
        <f t="shared" si="7"/>
        <v>11.037982332798215</v>
      </c>
      <c r="I82">
        <f t="shared" si="8"/>
        <v>11.15941223987825</v>
      </c>
      <c r="J82">
        <f t="shared" si="9"/>
        <v>-3.7441207511075092</v>
      </c>
      <c r="K82">
        <f t="shared" si="10"/>
        <v>-5.0496598325319546</v>
      </c>
    </row>
    <row r="83" spans="1:11" x14ac:dyDescent="0.45">
      <c r="A83" t="s">
        <v>130</v>
      </c>
      <c r="B83">
        <v>1097.3449144206177</v>
      </c>
      <c r="C83">
        <v>1900.7396026080673</v>
      </c>
      <c r="D83">
        <v>3614.6953339368797</v>
      </c>
      <c r="E83">
        <v>2.0410831793281847E-2</v>
      </c>
      <c r="F83">
        <v>3.4408442794344074E-2</v>
      </c>
      <c r="G83">
        <f t="shared" si="6"/>
        <v>7.0006488269194085</v>
      </c>
      <c r="H83">
        <f t="shared" si="7"/>
        <v>7.5499983539413122</v>
      </c>
      <c r="I83">
        <f t="shared" si="8"/>
        <v>8.1927628527388645</v>
      </c>
      <c r="J83">
        <f t="shared" si="9"/>
        <v>-3.8916895487878813</v>
      </c>
      <c r="K83">
        <f t="shared" si="10"/>
        <v>-3.3694533146476751</v>
      </c>
    </row>
    <row r="84" spans="1:11" x14ac:dyDescent="0.45">
      <c r="A84" t="s">
        <v>131</v>
      </c>
      <c r="B84">
        <v>17345.61588255204</v>
      </c>
      <c r="C84">
        <v>29467.033246955172</v>
      </c>
      <c r="D84">
        <v>41051.364449833789</v>
      </c>
      <c r="E84">
        <v>1.4708550184172164E-2</v>
      </c>
      <c r="F84">
        <v>1.7603245302902248E-2</v>
      </c>
      <c r="G84">
        <f t="shared" si="6"/>
        <v>9.7610950665596867</v>
      </c>
      <c r="H84">
        <f t="shared" si="7"/>
        <v>10.291027400387771</v>
      </c>
      <c r="I84">
        <f t="shared" si="8"/>
        <v>10.622579353057382</v>
      </c>
      <c r="J84">
        <f t="shared" si="9"/>
        <v>-4.2193263091056616</v>
      </c>
      <c r="K84">
        <f t="shared" si="10"/>
        <v>-4.0396720017258296</v>
      </c>
    </row>
    <row r="85" spans="1:11" x14ac:dyDescent="0.45">
      <c r="A85" t="s">
        <v>133</v>
      </c>
      <c r="B85">
        <v>1265.4760611395825</v>
      </c>
      <c r="C85">
        <v>3386.3445128548101</v>
      </c>
      <c r="D85">
        <v>4980.3575411203919</v>
      </c>
      <c r="E85">
        <v>2.3492954502329022E-2</v>
      </c>
      <c r="F85">
        <v>2.0510167290913817E-2</v>
      </c>
      <c r="G85">
        <f t="shared" si="6"/>
        <v>7.143203663282816</v>
      </c>
      <c r="H85">
        <f t="shared" si="7"/>
        <v>8.1275063037827291</v>
      </c>
      <c r="I85">
        <f t="shared" si="8"/>
        <v>8.5132569628472332</v>
      </c>
      <c r="J85">
        <f t="shared" si="9"/>
        <v>-3.7510547111950814</v>
      </c>
      <c r="K85">
        <f t="shared" si="10"/>
        <v>-3.8868345503775377</v>
      </c>
    </row>
    <row r="86" spans="1:11" x14ac:dyDescent="0.45">
      <c r="A86" t="s">
        <v>134</v>
      </c>
      <c r="B86">
        <v>4299.584826132771</v>
      </c>
      <c r="C86">
        <v>14037.704847704848</v>
      </c>
      <c r="D86">
        <v>30412.770605689522</v>
      </c>
      <c r="E86">
        <v>3.3714241032460457E-2</v>
      </c>
      <c r="F86">
        <v>4.1529493527248995E-2</v>
      </c>
      <c r="G86">
        <f t="shared" si="6"/>
        <v>8.3662737449580575</v>
      </c>
      <c r="H86">
        <f t="shared" si="7"/>
        <v>9.5495021918310403</v>
      </c>
      <c r="I86">
        <f t="shared" si="8"/>
        <v>10.322617884896484</v>
      </c>
      <c r="J86">
        <f t="shared" si="9"/>
        <v>-3.389834948321095</v>
      </c>
      <c r="K86">
        <f t="shared" si="10"/>
        <v>-3.1813514167606001</v>
      </c>
    </row>
    <row r="87" spans="1:11" x14ac:dyDescent="0.45">
      <c r="A87" t="s">
        <v>135</v>
      </c>
      <c r="B87">
        <v>5037.7647848401102</v>
      </c>
      <c r="C87">
        <v>6140.0978461747773</v>
      </c>
      <c r="D87">
        <v>12282.95377801018</v>
      </c>
      <c r="E87">
        <v>1.5220602456919474E-2</v>
      </c>
      <c r="F87">
        <v>3.7167303200656754E-2</v>
      </c>
      <c r="G87">
        <f t="shared" si="6"/>
        <v>8.5247177676209827</v>
      </c>
      <c r="H87">
        <f t="shared" si="7"/>
        <v>8.7225959568732971</v>
      </c>
      <c r="I87">
        <f t="shared" si="8"/>
        <v>9.415967708445649</v>
      </c>
      <c r="J87">
        <f t="shared" si="9"/>
        <v>-4.1851053440915544</v>
      </c>
      <c r="K87">
        <f t="shared" si="10"/>
        <v>-3.2923258504216601</v>
      </c>
    </row>
    <row r="88" spans="1:11" x14ac:dyDescent="0.45">
      <c r="A88" t="s">
        <v>136</v>
      </c>
      <c r="B88">
        <v>2864.3012592782961</v>
      </c>
      <c r="C88">
        <v>4378.7836516146563</v>
      </c>
      <c r="D88">
        <v>8601.4497311236191</v>
      </c>
      <c r="E88">
        <v>1.8812155691495303E-2</v>
      </c>
      <c r="F88">
        <v>3.6173628999556229E-2</v>
      </c>
      <c r="G88">
        <f t="shared" si="6"/>
        <v>7.9600797108441297</v>
      </c>
      <c r="H88">
        <f t="shared" si="7"/>
        <v>8.3845262596924783</v>
      </c>
      <c r="I88">
        <f t="shared" si="8"/>
        <v>9.0596860414211697</v>
      </c>
      <c r="J88">
        <f t="shared" si="9"/>
        <v>-3.9732520387537349</v>
      </c>
      <c r="K88">
        <f t="shared" si="10"/>
        <v>-3.3194249062966361</v>
      </c>
    </row>
    <row r="89" spans="1:11" x14ac:dyDescent="0.45">
      <c r="A89" t="s">
        <v>138</v>
      </c>
      <c r="B89">
        <v>6167.0266421415517</v>
      </c>
      <c r="C89">
        <v>27927.523283254508</v>
      </c>
      <c r="D89">
        <v>32191.894349807357</v>
      </c>
      <c r="E89">
        <v>2.8404362661842431E-2</v>
      </c>
      <c r="F89">
        <v>7.5070901997900119E-3</v>
      </c>
      <c r="G89">
        <f t="shared" si="6"/>
        <v>8.7269720950959204</v>
      </c>
      <c r="H89">
        <f t="shared" si="7"/>
        <v>10.237367979148157</v>
      </c>
      <c r="I89">
        <f t="shared" si="8"/>
        <v>10.37946997157677</v>
      </c>
      <c r="J89">
        <f t="shared" si="9"/>
        <v>-3.5612125307589233</v>
      </c>
      <c r="K89">
        <f t="shared" si="10"/>
        <v>-4.8919073450391837</v>
      </c>
    </row>
    <row r="90" spans="1:11" x14ac:dyDescent="0.45">
      <c r="A90" t="s">
        <v>139</v>
      </c>
      <c r="B90">
        <v>3686.3703878406709</v>
      </c>
      <c r="C90">
        <v>7062.1289825668773</v>
      </c>
      <c r="D90">
        <v>12468.183743576639</v>
      </c>
      <c r="E90">
        <v>2.0867935235381108E-2</v>
      </c>
      <c r="F90">
        <v>3.0369581217095876E-2</v>
      </c>
      <c r="G90">
        <f t="shared" si="6"/>
        <v>8.2123976182169365</v>
      </c>
      <c r="H90">
        <f t="shared" si="7"/>
        <v>8.862501840632909</v>
      </c>
      <c r="I90">
        <f t="shared" si="8"/>
        <v>9.430935377992034</v>
      </c>
      <c r="J90">
        <f t="shared" si="9"/>
        <v>-3.8695414973642275</v>
      </c>
      <c r="K90">
        <f t="shared" si="10"/>
        <v>-3.4943137893809011</v>
      </c>
    </row>
    <row r="91" spans="1:11" x14ac:dyDescent="0.45">
      <c r="A91" t="s">
        <v>142</v>
      </c>
      <c r="B91">
        <v>2499.5165509005124</v>
      </c>
      <c r="C91">
        <v>11482.373295870339</v>
      </c>
      <c r="D91">
        <v>28048.249124691447</v>
      </c>
      <c r="E91">
        <v>4.183142545772367E-2</v>
      </c>
      <c r="F91">
        <v>4.8128248602119728E-2</v>
      </c>
      <c r="G91">
        <f t="shared" si="6"/>
        <v>7.8238526125162435</v>
      </c>
      <c r="H91">
        <f t="shared" si="7"/>
        <v>9.3485683815969676</v>
      </c>
      <c r="I91">
        <f t="shared" si="8"/>
        <v>10.241681489205549</v>
      </c>
      <c r="J91">
        <f t="shared" si="9"/>
        <v>-3.1741074167066992</v>
      </c>
      <c r="K91">
        <f t="shared" si="10"/>
        <v>-3.0338859852317723</v>
      </c>
    </row>
    <row r="92" spans="1:11" x14ac:dyDescent="0.45">
      <c r="A92" t="s">
        <v>144</v>
      </c>
      <c r="B92">
        <v>801.04695099758453</v>
      </c>
      <c r="C92">
        <v>908.34418997441298</v>
      </c>
      <c r="D92">
        <v>2331.3484992476438</v>
      </c>
      <c r="E92">
        <v>1.8271400528373727E-2</v>
      </c>
      <c r="F92">
        <v>5.0860559117182236E-2</v>
      </c>
      <c r="G92">
        <f t="shared" si="6"/>
        <v>6.6859195608281725</v>
      </c>
      <c r="H92">
        <f t="shared" si="7"/>
        <v>6.8116233706232157</v>
      </c>
      <c r="I92">
        <f t="shared" si="8"/>
        <v>7.7542021341875458</v>
      </c>
      <c r="J92">
        <f t="shared" si="9"/>
        <v>-4.0024182542574582</v>
      </c>
      <c r="K92">
        <f t="shared" si="10"/>
        <v>-2.978667525789009</v>
      </c>
    </row>
    <row r="93" spans="1:11" x14ac:dyDescent="0.45">
      <c r="A93" t="s">
        <v>147</v>
      </c>
      <c r="B93">
        <v>2836.6694891597654</v>
      </c>
      <c r="C93">
        <v>2376.1459934474415</v>
      </c>
      <c r="D93">
        <v>3319.8134434599056</v>
      </c>
      <c r="E93">
        <v>2.6692840201198997E-3</v>
      </c>
      <c r="F93">
        <v>1.7757332397513981E-2</v>
      </c>
      <c r="G93">
        <f t="shared" si="6"/>
        <v>7.950385927902258</v>
      </c>
      <c r="H93">
        <f t="shared" si="7"/>
        <v>7.7732351236485027</v>
      </c>
      <c r="I93">
        <f t="shared" si="8"/>
        <v>8.107663868602776</v>
      </c>
      <c r="J93">
        <f t="shared" si="9"/>
        <v>-5.9259449997890297</v>
      </c>
      <c r="K93">
        <f t="shared" si="10"/>
        <v>-4.0309567555423707</v>
      </c>
    </row>
    <row r="94" spans="1:11" x14ac:dyDescent="0.45">
      <c r="A94" t="s">
        <v>148</v>
      </c>
      <c r="B94">
        <v>5165.1860634804816</v>
      </c>
      <c r="C94">
        <v>48856.267368264293</v>
      </c>
      <c r="D94">
        <v>83455.353151973541</v>
      </c>
      <c r="E94">
        <v>4.82884901934586E-2</v>
      </c>
      <c r="F94">
        <v>2.8581306435061071E-2</v>
      </c>
      <c r="G94">
        <f t="shared" si="6"/>
        <v>8.5496964048120532</v>
      </c>
      <c r="H94">
        <f t="shared" si="7"/>
        <v>10.796637947465864</v>
      </c>
      <c r="I94">
        <f t="shared" si="8"/>
        <v>11.332067075049045</v>
      </c>
      <c r="J94">
        <f t="shared" si="9"/>
        <v>-3.0305620449932333</v>
      </c>
      <c r="K94">
        <f t="shared" si="10"/>
        <v>-3.5550023960114716</v>
      </c>
    </row>
    <row r="95" spans="1:11" x14ac:dyDescent="0.45">
      <c r="A95" t="s">
        <v>150</v>
      </c>
      <c r="B95">
        <v>3786.7364220288091</v>
      </c>
      <c r="C95">
        <v>6190.7013536235327</v>
      </c>
      <c r="D95">
        <v>8244.2067218296761</v>
      </c>
      <c r="E95">
        <v>1.3273871546581884E-2</v>
      </c>
      <c r="F95">
        <v>1.519119679121661E-2</v>
      </c>
      <c r="G95">
        <f t="shared" si="6"/>
        <v>8.2392598247477871</v>
      </c>
      <c r="H95">
        <f t="shared" si="7"/>
        <v>8.7308036635612503</v>
      </c>
      <c r="I95">
        <f t="shared" si="8"/>
        <v>9.0172660171241166</v>
      </c>
      <c r="J95">
        <f t="shared" si="9"/>
        <v>-4.3219577213745444</v>
      </c>
      <c r="K95">
        <f t="shared" si="10"/>
        <v>-4.1870391773795488</v>
      </c>
    </row>
    <row r="96" spans="1:11" x14ac:dyDescent="0.45">
      <c r="A96" t="s">
        <v>156</v>
      </c>
      <c r="B96">
        <v>16272.76686199394</v>
      </c>
      <c r="C96">
        <v>40030.579377589616</v>
      </c>
      <c r="D96">
        <v>53012.403600892751</v>
      </c>
      <c r="E96">
        <v>2.0219201496014527E-2</v>
      </c>
      <c r="F96">
        <v>1.4893090472813952E-2</v>
      </c>
      <c r="G96">
        <f t="shared" si="6"/>
        <v>9.6972482448815249</v>
      </c>
      <c r="H96">
        <f t="shared" si="7"/>
        <v>10.597398925466431</v>
      </c>
      <c r="I96">
        <f t="shared" si="8"/>
        <v>10.878281195358985</v>
      </c>
      <c r="J96">
        <f t="shared" si="9"/>
        <v>-3.9011225569700625</v>
      </c>
      <c r="K96">
        <f t="shared" si="10"/>
        <v>-4.206857900241963</v>
      </c>
    </row>
    <row r="97" spans="1:11" x14ac:dyDescent="0.45">
      <c r="A97" t="s">
        <v>159</v>
      </c>
      <c r="B97">
        <v>3968.4367245657563</v>
      </c>
      <c r="C97">
        <v>16292.493827160493</v>
      </c>
      <c r="D97">
        <v>24957.141248720574</v>
      </c>
      <c r="E97">
        <v>3.1656635558110935E-2</v>
      </c>
      <c r="F97">
        <v>2.2698811274623587E-2</v>
      </c>
      <c r="G97">
        <f t="shared" si="6"/>
        <v>8.2861275239829411</v>
      </c>
      <c r="H97">
        <f t="shared" si="7"/>
        <v>9.6984597793303244</v>
      </c>
      <c r="I97">
        <f t="shared" si="8"/>
        <v>10.12491528261946</v>
      </c>
      <c r="J97">
        <f t="shared" si="9"/>
        <v>-3.4528074980816346</v>
      </c>
      <c r="K97">
        <f t="shared" si="10"/>
        <v>-3.7854427226226366</v>
      </c>
    </row>
    <row r="98" spans="1:11" x14ac:dyDescent="0.45">
      <c r="A98" t="s">
        <v>160</v>
      </c>
      <c r="B98">
        <v>4461.1795412544843</v>
      </c>
      <c r="C98">
        <v>9932.0959733833843</v>
      </c>
      <c r="D98">
        <v>7180.0317162758274</v>
      </c>
      <c r="E98">
        <v>8.0985596922036329E-3</v>
      </c>
      <c r="F98">
        <v>-1.6932259261375315E-2</v>
      </c>
      <c r="G98">
        <f t="shared" si="6"/>
        <v>8.4031684811810763</v>
      </c>
      <c r="H98">
        <f t="shared" si="7"/>
        <v>9.2035268096284284</v>
      </c>
      <c r="I98">
        <f t="shared" si="8"/>
        <v>8.8790590793411255</v>
      </c>
      <c r="J98">
        <f t="shared" si="9"/>
        <v>-4.8160690488921727</v>
      </c>
      <c r="K98" t="e">
        <f t="shared" si="10"/>
        <v>#NUM!</v>
      </c>
    </row>
    <row r="99" spans="1:11" x14ac:dyDescent="0.45">
      <c r="A99" t="s">
        <v>162</v>
      </c>
      <c r="B99">
        <v>1198.0768661735035</v>
      </c>
      <c r="C99">
        <v>844.70827100063423</v>
      </c>
      <c r="D99">
        <v>1566.408355228916</v>
      </c>
      <c r="E99">
        <v>4.5538572174803615E-3</v>
      </c>
      <c r="F99">
        <v>3.3036572482139093E-2</v>
      </c>
      <c r="G99">
        <f t="shared" si="6"/>
        <v>7.0884729386984846</v>
      </c>
      <c r="H99">
        <f t="shared" si="7"/>
        <v>6.738991326328267</v>
      </c>
      <c r="I99">
        <f t="shared" si="8"/>
        <v>7.3565406057947804</v>
      </c>
      <c r="J99">
        <f t="shared" si="9"/>
        <v>-5.3917806650423961</v>
      </c>
      <c r="K99">
        <f t="shared" si="10"/>
        <v>-3.4101400741446102</v>
      </c>
    </row>
    <row r="100" spans="1:11" x14ac:dyDescent="0.45">
      <c r="A100" t="s">
        <v>163</v>
      </c>
      <c r="B100">
        <v>1140.5851029908806</v>
      </c>
      <c r="C100">
        <v>1289.7649256762245</v>
      </c>
      <c r="D100">
        <v>2158.8345664654066</v>
      </c>
      <c r="E100">
        <v>1.087270224858905E-2</v>
      </c>
      <c r="F100">
        <v>2.7481822579120907E-2</v>
      </c>
      <c r="G100">
        <f t="shared" si="6"/>
        <v>7.039296657959329</v>
      </c>
      <c r="H100">
        <f t="shared" si="7"/>
        <v>7.1622152525921843</v>
      </c>
      <c r="I100">
        <f t="shared" si="8"/>
        <v>7.6773238025050361</v>
      </c>
      <c r="J100">
        <f t="shared" si="9"/>
        <v>-4.5215000118177988</v>
      </c>
      <c r="K100">
        <f t="shared" si="10"/>
        <v>-3.5942304899874005</v>
      </c>
    </row>
    <row r="101" spans="1:11" x14ac:dyDescent="0.45">
      <c r="A101" t="s">
        <v>164</v>
      </c>
      <c r="B101">
        <v>1218.8971443400328</v>
      </c>
      <c r="C101">
        <v>9404.1231021435178</v>
      </c>
      <c r="D101">
        <v>17659.041717414282</v>
      </c>
      <c r="E101">
        <v>4.6352382069719811E-2</v>
      </c>
      <c r="F101">
        <v>3.3719169141451344E-2</v>
      </c>
      <c r="G101">
        <f t="shared" si="6"/>
        <v>7.1057017488417786</v>
      </c>
      <c r="H101">
        <f t="shared" si="7"/>
        <v>9.1489034999766119</v>
      </c>
      <c r="I101">
        <f t="shared" si="8"/>
        <v>9.7790032097985939</v>
      </c>
      <c r="J101">
        <f t="shared" si="9"/>
        <v>-3.0714825952008891</v>
      </c>
      <c r="K101">
        <f t="shared" si="10"/>
        <v>-3.3896887860852845</v>
      </c>
    </row>
    <row r="102" spans="1:11" x14ac:dyDescent="0.45">
      <c r="A102" t="s">
        <v>167</v>
      </c>
      <c r="B102">
        <v>7791.2640807013331</v>
      </c>
      <c r="C102">
        <v>16778.696969696968</v>
      </c>
      <c r="D102">
        <v>25588.768458781364</v>
      </c>
      <c r="E102">
        <v>2.0359576995850226E-2</v>
      </c>
      <c r="F102">
        <v>2.2461356102786878E-2</v>
      </c>
      <c r="G102">
        <f t="shared" si="6"/>
        <v>8.9607583953669057</v>
      </c>
      <c r="H102">
        <f t="shared" si="7"/>
        <v>9.7278653232334573</v>
      </c>
      <c r="I102">
        <f t="shared" si="8"/>
        <v>10.149908802117723</v>
      </c>
      <c r="J102">
        <f t="shared" si="9"/>
        <v>-3.894203863750898</v>
      </c>
      <c r="K102">
        <f t="shared" si="10"/>
        <v>-3.795958952919892</v>
      </c>
    </row>
    <row r="103" spans="1:11" x14ac:dyDescent="0.45">
      <c r="A103" t="s">
        <v>168</v>
      </c>
      <c r="B103">
        <v>2051.4825926286103</v>
      </c>
      <c r="C103">
        <v>7539.9380330435506</v>
      </c>
      <c r="D103">
        <v>11064.691697948645</v>
      </c>
      <c r="E103">
        <v>2.8974474286217689E-2</v>
      </c>
      <c r="F103">
        <v>2.0391713758249663E-2</v>
      </c>
      <c r="G103">
        <f t="shared" si="6"/>
        <v>7.6263180266542401</v>
      </c>
      <c r="H103">
        <f t="shared" si="7"/>
        <v>8.9279692425389925</v>
      </c>
      <c r="I103">
        <f t="shared" si="8"/>
        <v>9.311514389281669</v>
      </c>
      <c r="J103">
        <f t="shared" si="9"/>
        <v>-3.5413400336235026</v>
      </c>
      <c r="K103">
        <f t="shared" si="10"/>
        <v>-3.8926266489698831</v>
      </c>
    </row>
    <row r="104" spans="1:11" x14ac:dyDescent="0.45">
      <c r="A104" t="s">
        <v>169</v>
      </c>
      <c r="B104">
        <v>5472.000915661074</v>
      </c>
      <c r="C104">
        <v>14713.357761360654</v>
      </c>
      <c r="D104">
        <v>26883.108632907268</v>
      </c>
      <c r="E104">
        <v>2.7347844332815674E-2</v>
      </c>
      <c r="F104">
        <v>3.2231830125593053E-2</v>
      </c>
      <c r="G104">
        <f t="shared" si="6"/>
        <v>8.6073996266380952</v>
      </c>
      <c r="H104">
        <f t="shared" si="7"/>
        <v>9.596511051405896</v>
      </c>
      <c r="I104">
        <f t="shared" si="8"/>
        <v>10.199253436495965</v>
      </c>
      <c r="J104">
        <f t="shared" si="9"/>
        <v>-3.5991175710333891</v>
      </c>
      <c r="K104">
        <f t="shared" si="10"/>
        <v>-3.4348008014720497</v>
      </c>
    </row>
    <row r="105" spans="1:11" x14ac:dyDescent="0.45">
      <c r="A105" t="s">
        <v>170</v>
      </c>
      <c r="B105">
        <v>1805.0165452721767</v>
      </c>
      <c r="C105">
        <v>26201.556830219299</v>
      </c>
      <c r="D105">
        <v>47804.235887438546</v>
      </c>
      <c r="E105">
        <v>5.7105647735028686E-2</v>
      </c>
      <c r="F105">
        <v>3.2153222546059235E-2</v>
      </c>
      <c r="G105">
        <f t="shared" si="6"/>
        <v>7.4983250370807468</v>
      </c>
      <c r="H105">
        <f t="shared" si="7"/>
        <v>10.173574108984567</v>
      </c>
      <c r="I105">
        <f t="shared" si="8"/>
        <v>10.774869531445322</v>
      </c>
      <c r="J105">
        <f t="shared" si="9"/>
        <v>-2.8628522576662383</v>
      </c>
      <c r="K105">
        <f t="shared" si="10"/>
        <v>-3.4372425986075434</v>
      </c>
    </row>
    <row r="106" spans="1:11" x14ac:dyDescent="0.45">
      <c r="A106" t="s">
        <v>171</v>
      </c>
      <c r="B106">
        <v>870.82742095844105</v>
      </c>
      <c r="C106">
        <v>1268.1446543003756</v>
      </c>
      <c r="D106">
        <v>2479.7769790297607</v>
      </c>
      <c r="E106">
        <v>1.7895184515570595E-2</v>
      </c>
      <c r="F106">
        <v>3.5925735923741042E-2</v>
      </c>
      <c r="G106">
        <f t="shared" si="6"/>
        <v>6.7694438182518892</v>
      </c>
      <c r="H106">
        <f t="shared" si="7"/>
        <v>7.1453102091689953</v>
      </c>
      <c r="I106">
        <f t="shared" si="8"/>
        <v>7.8159239073046995</v>
      </c>
      <c r="J106">
        <f t="shared" si="9"/>
        <v>-4.0232236238046992</v>
      </c>
      <c r="K106">
        <f t="shared" si="10"/>
        <v>-3.3263013622236333</v>
      </c>
    </row>
    <row r="107" spans="1:11" x14ac:dyDescent="0.45">
      <c r="A107" t="s">
        <v>172</v>
      </c>
      <c r="B107">
        <v>950.98436608467432</v>
      </c>
      <c r="C107">
        <v>1164.1753769524148</v>
      </c>
      <c r="D107">
        <v>2058.1335724741134</v>
      </c>
      <c r="E107">
        <v>1.3171707828590673E-2</v>
      </c>
      <c r="F107">
        <v>3.0442956801186138E-2</v>
      </c>
      <c r="G107">
        <f t="shared" si="6"/>
        <v>6.8574976229619695</v>
      </c>
      <c r="H107">
        <f t="shared" si="7"/>
        <v>7.0597682844270704</v>
      </c>
      <c r="I107">
        <f t="shared" si="8"/>
        <v>7.6295548183082831</v>
      </c>
      <c r="J107">
        <f t="shared" si="9"/>
        <v>-4.3296840959628371</v>
      </c>
      <c r="K107">
        <f t="shared" si="10"/>
        <v>-3.4919006153187957</v>
      </c>
    </row>
    <row r="108" spans="1:11" x14ac:dyDescent="0.45">
      <c r="A108" t="s">
        <v>174</v>
      </c>
      <c r="B108">
        <v>7682.0148104030168</v>
      </c>
      <c r="C108">
        <v>12853.978251046781</v>
      </c>
      <c r="D108">
        <v>20844.078140797876</v>
      </c>
      <c r="E108">
        <v>1.7062368508274472E-2</v>
      </c>
      <c r="F108">
        <v>2.5769410422126438E-2</v>
      </c>
      <c r="G108">
        <f t="shared" si="6"/>
        <v>8.9466371368398185</v>
      </c>
      <c r="H108">
        <f t="shared" si="7"/>
        <v>9.4614086339309509</v>
      </c>
      <c r="I108">
        <f t="shared" si="8"/>
        <v>9.9448251648609709</v>
      </c>
      <c r="J108">
        <f t="shared" si="9"/>
        <v>-4.0708799125414101</v>
      </c>
      <c r="K108">
        <f t="shared" si="10"/>
        <v>-3.6585671330380025</v>
      </c>
    </row>
    <row r="109" spans="1:11" x14ac:dyDescent="0.45">
      <c r="A109" t="s">
        <v>175</v>
      </c>
      <c r="B109">
        <v>19019.006575771971</v>
      </c>
      <c r="C109">
        <v>50205.23167545168</v>
      </c>
      <c r="D109">
        <v>62490.991898558612</v>
      </c>
      <c r="E109">
        <v>2.0367068619823181E-2</v>
      </c>
      <c r="F109">
        <v>1.1587844813178316E-2</v>
      </c>
      <c r="G109">
        <f t="shared" si="6"/>
        <v>9.8531941042291162</v>
      </c>
      <c r="H109">
        <f t="shared" si="7"/>
        <v>10.823874516892108</v>
      </c>
      <c r="I109">
        <f t="shared" si="8"/>
        <v>11.042777695713758</v>
      </c>
      <c r="J109">
        <f t="shared" si="9"/>
        <v>-3.8938359658332473</v>
      </c>
      <c r="K109">
        <f t="shared" si="10"/>
        <v>-4.4577985911928124</v>
      </c>
    </row>
    <row r="110" spans="1:11" x14ac:dyDescent="0.45">
      <c r="A110" t="s">
        <v>178</v>
      </c>
      <c r="B110">
        <v>439.56847680795516</v>
      </c>
      <c r="C110">
        <v>551.64406177146543</v>
      </c>
      <c r="D110">
        <v>233.93894262128367</v>
      </c>
      <c r="E110">
        <v>-1.0633456711138134E-2</v>
      </c>
      <c r="F110">
        <v>-4.4145548354034503E-2</v>
      </c>
      <c r="G110">
        <f t="shared" si="6"/>
        <v>6.0857935111501575</v>
      </c>
      <c r="H110">
        <f t="shared" si="7"/>
        <v>6.312903022662681</v>
      </c>
      <c r="I110">
        <f t="shared" si="8"/>
        <v>5.4550601523409421</v>
      </c>
      <c r="J110" t="e">
        <f t="shared" si="9"/>
        <v>#NUM!</v>
      </c>
      <c r="K110" t="e">
        <f t="shared" si="10"/>
        <v>#NUM!</v>
      </c>
    </row>
    <row r="111" spans="1:11" x14ac:dyDescent="0.45">
      <c r="A111" t="s">
        <v>182</v>
      </c>
      <c r="B111">
        <v>7962.8747056805132</v>
      </c>
      <c r="C111">
        <v>10115.295256372907</v>
      </c>
      <c r="D111">
        <v>12514.906085046867</v>
      </c>
      <c r="E111">
        <v>7.6926638020626825E-3</v>
      </c>
      <c r="F111">
        <v>1.1266774227052467E-2</v>
      </c>
      <c r="G111">
        <f t="shared" si="6"/>
        <v>8.9825453575713681</v>
      </c>
      <c r="H111">
        <f t="shared" si="7"/>
        <v>9.2218039391286606</v>
      </c>
      <c r="I111">
        <f t="shared" si="8"/>
        <v>9.4346756996464975</v>
      </c>
      <c r="J111">
        <f t="shared" si="9"/>
        <v>-4.8674881572589799</v>
      </c>
      <c r="K111">
        <f t="shared" si="10"/>
        <v>-4.4858972184270387</v>
      </c>
    </row>
    <row r="112" spans="1:11" x14ac:dyDescent="0.45">
      <c r="A112" t="s">
        <v>183</v>
      </c>
      <c r="B112">
        <v>2397.3829294982024</v>
      </c>
      <c r="C112">
        <v>1807.6949183459901</v>
      </c>
      <c r="D112">
        <v>3151.1266670399191</v>
      </c>
      <c r="E112">
        <v>4.6443511220448652E-3</v>
      </c>
      <c r="F112">
        <v>2.9679682439401667E-2</v>
      </c>
      <c r="G112">
        <f t="shared" si="6"/>
        <v>7.7821329753247754</v>
      </c>
      <c r="H112">
        <f t="shared" si="7"/>
        <v>7.4998077868610693</v>
      </c>
      <c r="I112">
        <f t="shared" si="8"/>
        <v>8.0555153399464352</v>
      </c>
      <c r="J112">
        <f t="shared" si="9"/>
        <v>-5.372103610329142</v>
      </c>
      <c r="K112">
        <f t="shared" si="10"/>
        <v>-3.5172925602212732</v>
      </c>
    </row>
    <row r="113" spans="1:11" x14ac:dyDescent="0.45">
      <c r="A113" t="s">
        <v>184</v>
      </c>
      <c r="B113">
        <v>1515.5499467131085</v>
      </c>
      <c r="C113">
        <v>1833.9984261246475</v>
      </c>
      <c r="D113">
        <v>2915.1664538595473</v>
      </c>
      <c r="E113">
        <v>1.1148954991307303E-2</v>
      </c>
      <c r="F113">
        <v>2.4690861624913518E-2</v>
      </c>
      <c r="G113">
        <f t="shared" si="6"/>
        <v>7.3235336532052635</v>
      </c>
      <c r="H113">
        <f t="shared" si="7"/>
        <v>7.5142537946506369</v>
      </c>
      <c r="I113">
        <f t="shared" si="8"/>
        <v>7.9776821996790215</v>
      </c>
      <c r="J113">
        <f t="shared" si="9"/>
        <v>-4.4964095082209692</v>
      </c>
      <c r="K113">
        <f t="shared" si="10"/>
        <v>-3.701322078505588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CB26-C8D1-4D58-9089-ED0BE11FFA14}">
  <dimension ref="A1:P39"/>
  <sheetViews>
    <sheetView workbookViewId="0">
      <selection activeCell="A3" sqref="A3:A22"/>
    </sheetView>
  </sheetViews>
  <sheetFormatPr defaultRowHeight="14.25" x14ac:dyDescent="0.45"/>
  <sheetData>
    <row r="1" spans="1:13" x14ac:dyDescent="0.45">
      <c r="B1" t="s">
        <v>185</v>
      </c>
      <c r="E1" t="s">
        <v>186</v>
      </c>
    </row>
    <row r="2" spans="1:13" x14ac:dyDescent="0.45">
      <c r="B2">
        <v>1960</v>
      </c>
      <c r="C2">
        <v>2000</v>
      </c>
      <c r="D2">
        <v>2019</v>
      </c>
      <c r="E2" t="s">
        <v>187</v>
      </c>
      <c r="F2" t="s">
        <v>188</v>
      </c>
      <c r="H2" t="s">
        <v>189</v>
      </c>
    </row>
    <row r="3" spans="1:13" ht="14.65" thickBot="1" x14ac:dyDescent="0.5">
      <c r="A3" s="13" t="s">
        <v>11</v>
      </c>
      <c r="B3">
        <v>13843.302207561532</v>
      </c>
      <c r="C3">
        <v>44299.02145167486</v>
      </c>
      <c r="D3">
        <v>53234.839644448417</v>
      </c>
      <c r="E3">
        <v>2.3091585327341679E-2</v>
      </c>
      <c r="F3">
        <v>9.7179936162627989E-3</v>
      </c>
    </row>
    <row r="4" spans="1:13" x14ac:dyDescent="0.45">
      <c r="A4" s="13" t="s">
        <v>14</v>
      </c>
      <c r="B4">
        <v>12673.348794083437</v>
      </c>
      <c r="C4">
        <v>38553.312225248003</v>
      </c>
      <c r="D4">
        <v>46285.503670066639</v>
      </c>
      <c r="E4">
        <v>2.2197482173478944E-2</v>
      </c>
      <c r="F4">
        <v>9.6667822824061389E-3</v>
      </c>
      <c r="H4" s="7" t="s">
        <v>190</v>
      </c>
      <c r="I4" s="7"/>
    </row>
    <row r="5" spans="1:13" x14ac:dyDescent="0.45">
      <c r="A5" s="13" t="s">
        <v>32</v>
      </c>
      <c r="B5">
        <v>17293.200910240485</v>
      </c>
      <c r="C5">
        <v>42187.295674177141</v>
      </c>
      <c r="D5">
        <v>50097.224078479587</v>
      </c>
      <c r="E5">
        <v>1.8191488556188462E-2</v>
      </c>
      <c r="F5">
        <v>9.0855767882069838E-3</v>
      </c>
      <c r="H5" s="4" t="s">
        <v>191</v>
      </c>
      <c r="I5" s="4">
        <v>0.63191599360271389</v>
      </c>
    </row>
    <row r="6" spans="1:13" x14ac:dyDescent="0.45">
      <c r="A6" s="13" t="s">
        <v>33</v>
      </c>
      <c r="B6">
        <v>34262.172576293087</v>
      </c>
      <c r="C6">
        <v>63663.364567877041</v>
      </c>
      <c r="D6">
        <v>75454.204204204201</v>
      </c>
      <c r="E6">
        <v>1.3471012123464465E-2</v>
      </c>
      <c r="F6">
        <v>8.9830885965789253E-3</v>
      </c>
      <c r="H6" s="4" t="s">
        <v>192</v>
      </c>
      <c r="I6" s="4">
        <v>0.39931782297090512</v>
      </c>
    </row>
    <row r="7" spans="1:13" x14ac:dyDescent="0.45">
      <c r="A7" s="13" t="s">
        <v>48</v>
      </c>
      <c r="B7">
        <v>14927.561229187815</v>
      </c>
      <c r="C7">
        <v>41903.03178466086</v>
      </c>
      <c r="D7">
        <v>51654.962462732139</v>
      </c>
      <c r="E7">
        <v>2.12631959174443E-2</v>
      </c>
      <c r="F7">
        <v>1.1072859911475108E-2</v>
      </c>
      <c r="H7" s="4" t="s">
        <v>193</v>
      </c>
      <c r="I7" s="4">
        <v>0.36594659091373316</v>
      </c>
    </row>
    <row r="8" spans="1:13" x14ac:dyDescent="0.45">
      <c r="A8" s="13" t="s">
        <v>51</v>
      </c>
      <c r="B8">
        <v>16538.256081862412</v>
      </c>
      <c r="C8">
        <v>45378.835748520934</v>
      </c>
      <c r="D8">
        <v>53927.416673885549</v>
      </c>
      <c r="E8">
        <v>2.0235279734800216E-2</v>
      </c>
      <c r="F8">
        <v>9.1252351469819359E-3</v>
      </c>
      <c r="H8" s="4" t="s">
        <v>194</v>
      </c>
      <c r="I8" s="4">
        <v>3.9660088362515897E-3</v>
      </c>
    </row>
    <row r="9" spans="1:13" ht="14.65" thickBot="1" x14ac:dyDescent="0.5">
      <c r="A9" s="13" t="s">
        <v>56</v>
      </c>
      <c r="B9">
        <v>8581.5529597556742</v>
      </c>
      <c r="C9">
        <v>34053.801243361879</v>
      </c>
      <c r="D9">
        <v>40574.35200955136</v>
      </c>
      <c r="E9">
        <v>2.6680588667251204E-2</v>
      </c>
      <c r="F9">
        <v>9.2634042754768942E-3</v>
      </c>
      <c r="H9" s="5" t="s">
        <v>195</v>
      </c>
      <c r="I9" s="5">
        <v>20</v>
      </c>
    </row>
    <row r="10" spans="1:13" x14ac:dyDescent="0.45">
      <c r="A10" s="13" t="s">
        <v>61</v>
      </c>
      <c r="B10">
        <v>12699.275032014637</v>
      </c>
      <c r="C10">
        <v>38248.537151906217</v>
      </c>
      <c r="D10">
        <v>44027.998016367928</v>
      </c>
      <c r="E10">
        <v>2.1296150776928702E-2</v>
      </c>
      <c r="F10">
        <v>7.433833445071425E-3</v>
      </c>
    </row>
    <row r="11" spans="1:13" ht="14.65" thickBot="1" x14ac:dyDescent="0.5">
      <c r="A11" s="13" t="s">
        <v>63</v>
      </c>
      <c r="B11">
        <v>14951.962224443727</v>
      </c>
      <c r="C11">
        <v>37253.365816239078</v>
      </c>
      <c r="D11">
        <v>44671.794989500995</v>
      </c>
      <c r="E11">
        <v>1.8723979478376007E-2</v>
      </c>
      <c r="F11">
        <v>9.6037183302841722E-3</v>
      </c>
      <c r="H11" t="s">
        <v>196</v>
      </c>
    </row>
    <row r="12" spans="1:13" x14ac:dyDescent="0.45">
      <c r="A12" s="13" t="s">
        <v>70</v>
      </c>
      <c r="B12">
        <v>7240.6783180987204</v>
      </c>
      <c r="C12">
        <v>25852.117378475199</v>
      </c>
      <c r="D12">
        <v>27640.542206521219</v>
      </c>
      <c r="E12">
        <v>2.2964264839418824E-2</v>
      </c>
      <c r="F12">
        <v>3.5267891501442605E-3</v>
      </c>
      <c r="H12" s="6"/>
      <c r="I12" s="6" t="s">
        <v>201</v>
      </c>
      <c r="J12" s="6" t="s">
        <v>202</v>
      </c>
      <c r="K12" s="6" t="s">
        <v>203</v>
      </c>
      <c r="L12" s="6" t="s">
        <v>204</v>
      </c>
      <c r="M12" s="6" t="s">
        <v>205</v>
      </c>
    </row>
    <row r="13" spans="1:13" x14ac:dyDescent="0.45">
      <c r="A13" s="13" t="s">
        <v>81</v>
      </c>
      <c r="B13">
        <v>10589.088932664758</v>
      </c>
      <c r="C13">
        <v>53374.402764928236</v>
      </c>
      <c r="D13">
        <v>96812.218392217095</v>
      </c>
      <c r="E13">
        <v>3.8219899565889781E-2</v>
      </c>
      <c r="F13">
        <v>3.1835287108074262E-2</v>
      </c>
      <c r="H13" s="4" t="s">
        <v>197</v>
      </c>
      <c r="I13" s="4">
        <v>1</v>
      </c>
      <c r="J13" s="4">
        <v>1.882148165283847E-4</v>
      </c>
      <c r="K13" s="4">
        <v>1.882148165283847E-4</v>
      </c>
      <c r="L13" s="4">
        <v>11.965929884961684</v>
      </c>
      <c r="M13" s="4">
        <v>2.7991610416375438E-3</v>
      </c>
    </row>
    <row r="14" spans="1:13" x14ac:dyDescent="0.45">
      <c r="A14" s="13" t="s">
        <v>84</v>
      </c>
      <c r="B14">
        <v>11408.558773424191</v>
      </c>
      <c r="C14">
        <v>35726.243580599148</v>
      </c>
      <c r="D14">
        <v>52021.709144542772</v>
      </c>
      <c r="E14">
        <v>2.6050435461316246E-2</v>
      </c>
      <c r="F14">
        <v>1.9974535929653925E-2</v>
      </c>
      <c r="H14" s="4" t="s">
        <v>198</v>
      </c>
      <c r="I14" s="4">
        <v>18</v>
      </c>
      <c r="J14" s="4">
        <v>2.8312606960606242E-4</v>
      </c>
      <c r="K14" s="4">
        <v>1.5729226089225691E-5</v>
      </c>
      <c r="L14" s="4"/>
      <c r="M14" s="4"/>
    </row>
    <row r="15" spans="1:13" ht="14.65" thickBot="1" x14ac:dyDescent="0.5">
      <c r="A15" s="13" t="s">
        <v>86</v>
      </c>
      <c r="B15">
        <v>11717.270037112052</v>
      </c>
      <c r="C15">
        <v>41855.6035927341</v>
      </c>
      <c r="D15">
        <v>40756.55531535043</v>
      </c>
      <c r="E15">
        <v>2.1352791458488785E-2</v>
      </c>
      <c r="F15">
        <v>-1.3994930406103778E-3</v>
      </c>
      <c r="H15" s="5" t="s">
        <v>199</v>
      </c>
      <c r="I15" s="5">
        <v>19</v>
      </c>
      <c r="J15" s="5">
        <v>4.7134088613444712E-4</v>
      </c>
      <c r="K15" s="5"/>
      <c r="L15" s="5"/>
      <c r="M15" s="5"/>
    </row>
    <row r="16" spans="1:13" ht="14.65" thickBot="1" x14ac:dyDescent="0.5">
      <c r="A16" s="13" t="s">
        <v>104</v>
      </c>
      <c r="B16">
        <v>22074.229325699744</v>
      </c>
      <c r="C16">
        <v>76823.128640220137</v>
      </c>
      <c r="D16">
        <v>91869.226571382169</v>
      </c>
      <c r="E16">
        <v>2.4463164645930124E-2</v>
      </c>
      <c r="F16">
        <v>9.4581517733871578E-3</v>
      </c>
    </row>
    <row r="17" spans="1:16" x14ac:dyDescent="0.45">
      <c r="A17" s="13" t="s">
        <v>128</v>
      </c>
      <c r="B17">
        <v>16053.593950712093</v>
      </c>
      <c r="C17">
        <v>46384.397251070564</v>
      </c>
      <c r="D17">
        <v>56194.961426206777</v>
      </c>
      <c r="E17">
        <v>2.1462575186973476E-2</v>
      </c>
      <c r="F17">
        <v>1.0149261162219814E-2</v>
      </c>
      <c r="H17" s="6"/>
      <c r="I17" s="6" t="s">
        <v>206</v>
      </c>
      <c r="J17" s="6" t="s">
        <v>194</v>
      </c>
      <c r="K17" s="6" t="s">
        <v>207</v>
      </c>
      <c r="L17" s="6" t="s">
        <v>208</v>
      </c>
      <c r="M17" s="6" t="s">
        <v>209</v>
      </c>
      <c r="N17" s="6" t="s">
        <v>210</v>
      </c>
      <c r="O17" s="6" t="s">
        <v>211</v>
      </c>
      <c r="P17" s="6" t="s">
        <v>212</v>
      </c>
    </row>
    <row r="18" spans="1:16" x14ac:dyDescent="0.45">
      <c r="A18" s="13" t="s">
        <v>129</v>
      </c>
      <c r="B18">
        <v>17675.53248603352</v>
      </c>
      <c r="C18">
        <v>62192.042272302977</v>
      </c>
      <c r="D18">
        <v>70221.670564613582</v>
      </c>
      <c r="E18">
        <v>2.3656419787119853E-2</v>
      </c>
      <c r="F18">
        <v>6.4115140638532075E-3</v>
      </c>
      <c r="H18" s="4" t="s">
        <v>200</v>
      </c>
      <c r="I18" s="4">
        <v>3.011727172321417E-2</v>
      </c>
      <c r="J18" s="4">
        <v>2.2450158346311966E-3</v>
      </c>
      <c r="K18" s="4">
        <v>13.415171179922538</v>
      </c>
      <c r="L18" s="4">
        <v>8.2214380016456941E-11</v>
      </c>
      <c r="M18" s="4">
        <v>2.540066847554736E-2</v>
      </c>
      <c r="N18" s="4">
        <v>3.4833874970880981E-2</v>
      </c>
      <c r="O18" s="4">
        <v>2.540066847554736E-2</v>
      </c>
      <c r="P18" s="4">
        <v>3.4833874970880981E-2</v>
      </c>
    </row>
    <row r="19" spans="1:16" ht="14.65" thickBot="1" x14ac:dyDescent="0.5">
      <c r="A19" s="13" t="s">
        <v>138</v>
      </c>
      <c r="B19">
        <v>6167.0266421415517</v>
      </c>
      <c r="C19">
        <v>27927.523283254508</v>
      </c>
      <c r="D19">
        <v>32191.894349807357</v>
      </c>
      <c r="E19">
        <v>2.8404362661842431E-2</v>
      </c>
      <c r="F19">
        <v>7.5070901997900119E-3</v>
      </c>
      <c r="H19" s="5" t="s">
        <v>213</v>
      </c>
      <c r="I19" s="5">
        <v>-4.9294014355308669E-7</v>
      </c>
      <c r="J19" s="5">
        <v>1.425020002262932E-7</v>
      </c>
      <c r="K19" s="5">
        <v>-3.4591805221701986</v>
      </c>
      <c r="L19" s="5">
        <v>2.7991610416375364E-3</v>
      </c>
      <c r="M19" s="5">
        <v>-7.9232573660693944E-7</v>
      </c>
      <c r="N19" s="5">
        <v>-1.9355455049923394E-7</v>
      </c>
      <c r="O19" s="5">
        <v>-7.9232573660693944E-7</v>
      </c>
      <c r="P19" s="5">
        <v>-1.9355455049923394E-7</v>
      </c>
    </row>
    <row r="20" spans="1:16" x14ac:dyDescent="0.45">
      <c r="A20" s="13" t="s">
        <v>156</v>
      </c>
      <c r="B20">
        <v>16272.76686199394</v>
      </c>
      <c r="C20">
        <v>40030.579377589616</v>
      </c>
      <c r="D20">
        <v>53012.403600892751</v>
      </c>
      <c r="E20">
        <v>2.0219201496014527E-2</v>
      </c>
      <c r="F20">
        <v>1.4893090472813952E-2</v>
      </c>
    </row>
    <row r="21" spans="1:16" x14ac:dyDescent="0.45">
      <c r="A21" s="13" t="s">
        <v>169</v>
      </c>
      <c r="B21">
        <v>5472.000915661074</v>
      </c>
      <c r="C21">
        <v>14713.357761360654</v>
      </c>
      <c r="D21">
        <v>26883.108632907268</v>
      </c>
      <c r="E21">
        <v>2.7347844332815674E-2</v>
      </c>
      <c r="F21">
        <v>3.2231830125593053E-2</v>
      </c>
    </row>
    <row r="22" spans="1:16" x14ac:dyDescent="0.45">
      <c r="A22" s="13" t="s">
        <v>175</v>
      </c>
      <c r="B22">
        <v>19019.006575771971</v>
      </c>
      <c r="C22">
        <v>50205.23167545168</v>
      </c>
      <c r="D22">
        <v>62490.991898558612</v>
      </c>
      <c r="E22">
        <v>2.0367068619823181E-2</v>
      </c>
      <c r="F22">
        <v>1.1587844813178316E-2</v>
      </c>
      <c r="H22" t="s">
        <v>189</v>
      </c>
    </row>
    <row r="23" spans="1:16" ht="14.65" thickBot="1" x14ac:dyDescent="0.5"/>
    <row r="24" spans="1:16" x14ac:dyDescent="0.45">
      <c r="H24" s="7" t="s">
        <v>190</v>
      </c>
      <c r="I24" s="7"/>
    </row>
    <row r="25" spans="1:16" x14ac:dyDescent="0.45">
      <c r="H25" s="4" t="s">
        <v>191</v>
      </c>
      <c r="I25" s="4">
        <v>0.18921311639334487</v>
      </c>
    </row>
    <row r="26" spans="1:16" x14ac:dyDescent="0.45">
      <c r="H26" s="4" t="s">
        <v>192</v>
      </c>
      <c r="I26" s="4">
        <v>3.580160341528147E-2</v>
      </c>
    </row>
    <row r="27" spans="1:16" x14ac:dyDescent="0.45">
      <c r="H27" s="4" t="s">
        <v>193</v>
      </c>
      <c r="I27" s="4">
        <v>-1.7764974172758449E-2</v>
      </c>
    </row>
    <row r="28" spans="1:16" x14ac:dyDescent="0.45">
      <c r="H28" s="4" t="s">
        <v>194</v>
      </c>
      <c r="I28" s="4">
        <v>8.1962859555049228E-3</v>
      </c>
    </row>
    <row r="29" spans="1:16" ht="14.65" thickBot="1" x14ac:dyDescent="0.5">
      <c r="H29" s="5" t="s">
        <v>195</v>
      </c>
      <c r="I29" s="5">
        <v>20</v>
      </c>
    </row>
    <row r="31" spans="1:16" ht="14.65" thickBot="1" x14ac:dyDescent="0.5">
      <c r="H31" t="s">
        <v>196</v>
      </c>
    </row>
    <row r="32" spans="1:16" x14ac:dyDescent="0.45">
      <c r="H32" s="6"/>
      <c r="I32" s="6" t="s">
        <v>201</v>
      </c>
      <c r="J32" s="6" t="s">
        <v>202</v>
      </c>
      <c r="K32" s="6" t="s">
        <v>203</v>
      </c>
      <c r="L32" s="6" t="s">
        <v>204</v>
      </c>
      <c r="M32" s="6" t="s">
        <v>205</v>
      </c>
    </row>
    <row r="33" spans="8:16" x14ac:dyDescent="0.45">
      <c r="H33" s="4" t="s">
        <v>197</v>
      </c>
      <c r="I33" s="4">
        <v>1</v>
      </c>
      <c r="J33" s="4">
        <v>4.4899631978054027E-5</v>
      </c>
      <c r="K33" s="4">
        <v>4.4899631978054027E-5</v>
      </c>
      <c r="L33" s="4">
        <v>0.66835711795175567</v>
      </c>
      <c r="M33" s="4">
        <v>0.42431481973686525</v>
      </c>
    </row>
    <row r="34" spans="8:16" x14ac:dyDescent="0.45">
      <c r="H34" s="4" t="s">
        <v>198</v>
      </c>
      <c r="I34" s="4">
        <v>18</v>
      </c>
      <c r="J34" s="4">
        <v>1.2092238623593302E-3</v>
      </c>
      <c r="K34" s="4">
        <v>6.7179103464407237E-5</v>
      </c>
      <c r="L34" s="4"/>
      <c r="M34" s="4"/>
    </row>
    <row r="35" spans="8:16" ht="14.65" thickBot="1" x14ac:dyDescent="0.5">
      <c r="H35" s="5" t="s">
        <v>199</v>
      </c>
      <c r="I35" s="5">
        <v>19</v>
      </c>
      <c r="J35" s="5">
        <v>1.2541234943373842E-3</v>
      </c>
      <c r="K35" s="5"/>
      <c r="L35" s="5"/>
      <c r="M35" s="5"/>
    </row>
    <row r="36" spans="8:16" ht="14.65" thickBot="1" x14ac:dyDescent="0.5"/>
    <row r="37" spans="8:16" x14ac:dyDescent="0.45">
      <c r="H37" s="6"/>
      <c r="I37" s="6" t="s">
        <v>206</v>
      </c>
      <c r="J37" s="6" t="s">
        <v>194</v>
      </c>
      <c r="K37" s="6" t="s">
        <v>207</v>
      </c>
      <c r="L37" s="6" t="s">
        <v>208</v>
      </c>
      <c r="M37" s="6" t="s">
        <v>209</v>
      </c>
      <c r="N37" s="6" t="s">
        <v>210</v>
      </c>
      <c r="O37" s="6" t="s">
        <v>211</v>
      </c>
      <c r="P37" s="6" t="s">
        <v>212</v>
      </c>
    </row>
    <row r="38" spans="8:16" x14ac:dyDescent="0.45">
      <c r="H38" s="4" t="s">
        <v>200</v>
      </c>
      <c r="I38" s="4">
        <v>1.6272990014193217E-2</v>
      </c>
      <c r="J38" s="4">
        <v>6.1117138246261403E-3</v>
      </c>
      <c r="K38" s="4">
        <v>2.6625903111863476</v>
      </c>
      <c r="L38" s="4">
        <v>1.5860923614853323E-2</v>
      </c>
      <c r="M38" s="4">
        <v>3.4327557363903107E-3</v>
      </c>
      <c r="N38" s="4">
        <v>2.9113224291996122E-2</v>
      </c>
      <c r="O38" s="4">
        <v>3.4327557363903107E-3</v>
      </c>
      <c r="P38" s="4">
        <v>2.9113224291996122E-2</v>
      </c>
    </row>
    <row r="39" spans="8:16" ht="14.65" thickBot="1" x14ac:dyDescent="0.5">
      <c r="H39" s="5" t="s">
        <v>213</v>
      </c>
      <c r="I39" s="5">
        <v>-1.1076994594353512E-7</v>
      </c>
      <c r="J39" s="5">
        <v>1.3549324840580365E-7</v>
      </c>
      <c r="K39" s="5">
        <v>-0.8175311113051037</v>
      </c>
      <c r="L39" s="5">
        <v>0.42431481973686447</v>
      </c>
      <c r="M39" s="5">
        <v>-3.9543069782314188E-7</v>
      </c>
      <c r="N39" s="5">
        <v>1.7389080593607161E-7</v>
      </c>
      <c r="O39" s="5">
        <v>-3.9543069782314188E-7</v>
      </c>
      <c r="P39" s="5">
        <v>1.7389080593607161E-7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All</vt:lpstr>
      <vt:lpstr>Sheet3</vt:lpstr>
      <vt:lpstr>Sheet4</vt:lpstr>
      <vt:lpstr>OECD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</dc:creator>
  <cp:lastModifiedBy>TM</cp:lastModifiedBy>
  <dcterms:created xsi:type="dcterms:W3CDTF">2021-09-13T04:45:11Z</dcterms:created>
  <dcterms:modified xsi:type="dcterms:W3CDTF">2021-09-14T15:55:31Z</dcterms:modified>
</cp:coreProperties>
</file>